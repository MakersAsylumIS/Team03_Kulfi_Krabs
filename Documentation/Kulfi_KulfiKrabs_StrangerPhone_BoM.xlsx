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82f5ef65c6ed19c/Desktop/Kulfi Collective Play It Forward/"/>
    </mc:Choice>
  </mc:AlternateContent>
  <xr:revisionPtr revIDLastSave="18" documentId="11_98E3C5375947CCB40B29F05618064EA1C0540CAB" xr6:coauthVersionLast="47" xr6:coauthVersionMax="47" xr10:uidLastSave="{F174C43C-7CB3-4D3A-8E61-B10417372105}"/>
  <bookViews>
    <workbookView xWindow="-108" yWindow="-108" windowWidth="23256" windowHeight="12456" tabRatio="500" xr2:uid="{00000000-000D-0000-FFFF-FFFF00000000}"/>
  </bookViews>
  <sheets>
    <sheet name="Team_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9" i="1" l="1"/>
  <c r="H51" i="1" s="1"/>
  <c r="A9" i="1"/>
</calcChain>
</file>

<file path=xl/sharedStrings.xml><?xml version="1.0" encoding="utf-8"?>
<sst xmlns="http://schemas.openxmlformats.org/spreadsheetml/2006/main" count="158" uniqueCount="140">
  <si>
    <t>Year</t>
  </si>
  <si>
    <t>Cohort</t>
  </si>
  <si>
    <t>Kulfi Collective</t>
  </si>
  <si>
    <t>Team Name</t>
  </si>
  <si>
    <t>Kulfi Krabs</t>
  </si>
  <si>
    <t>Project Name</t>
  </si>
  <si>
    <t>Stranger Phone</t>
  </si>
  <si>
    <t>Team Members</t>
  </si>
  <si>
    <t>Khushi</t>
  </si>
  <si>
    <t>Devashree</t>
  </si>
  <si>
    <t>Angad</t>
  </si>
  <si>
    <t>Email IDs</t>
  </si>
  <si>
    <t>Team Mentor</t>
  </si>
  <si>
    <t>Kushal Bhor</t>
  </si>
  <si>
    <t>Notes</t>
  </si>
  <si>
    <t>* Use this template and fill in the details below. Share it back with "editable" link.</t>
  </si>
  <si>
    <t>* Explain your project in brief</t>
  </si>
  <si>
    <t>* For all the components that you are ordering online provide the reference link of the online store from where you are planning to place the order. 
Prefer ordering the components from stores like robu, hubtronics, roboticsdna etc. A more comprehensive VENDOR LIST is at : MAKERVILLE</t>
  </si>
  <si>
    <t>* For the components that you are planning to purchase from your local store provide the reference link of image or video</t>
  </si>
  <si>
    <t>* DO NOT RELY ON GETTING ANYTHING FROM THE LOCAL STORE HERE IN GOA. YOU WON'T HAVE THE TIME, MEANS OR AVAILABILITY TO GET THE COMPONENTS FROM THE LOCAL STORE</t>
  </si>
  <si>
    <t>Project Brief:</t>
  </si>
  <si>
    <t>A vintage push-button telephone mounted inside a Mumbai kaali-peeli cab. A passenger picks up the handset, chooses a language (1 English / 2 Hindi / 3 Marathi), hears a short description in that language, then presses 4 to hear a message a previous stranger left, or 5 to record one for the next stranger (6 to re-record, 7 to save). Messages are stored on a microSD card by language and played back only to listeners who chose that language. After saving, the passenger taps their phone on an NFC sticker for a small web 'surprise'. Built on an ESP32-A1S Audio Kit (records + plays audio, SD card, onboard keys); powered by a power bank. Pillars from fieldwork: empathy, connection, time.</t>
  </si>
  <si>
    <t>Sr no</t>
  </si>
  <si>
    <t>Product name</t>
  </si>
  <si>
    <t>Qty</t>
  </si>
  <si>
    <t>Category</t>
  </si>
  <si>
    <t>Purpose</t>
  </si>
  <si>
    <t>Reference link</t>
  </si>
  <si>
    <t>Additional details</t>
  </si>
  <si>
    <t>Cost</t>
  </si>
  <si>
    <t>Vintage push-button telephone (Bakelite / BSNL style) with handset, cord, keypad and hook switch</t>
  </si>
  <si>
    <t>Electro-mechanical</t>
  </si>
  <si>
    <t>Flow: 'Picks up the phone', keys 1-7, 'Hangs up'. Shell, handset (mic + earpiece), keypad, hook switch. Internals removed and replaced by the ESP32 board.</t>
  </si>
  <si>
    <t>https://www.olx.in/items/q-vintage-telephone</t>
  </si>
  <si>
    <t>LOCAL: Chor Bazaar (Mutton St) or OLX Mumbai. Test hook switch, keypad and earpiece before buying. Buy by 28 Sep.</t>
  </si>
  <si>
    <t>12 mm tactile push buttons (pack of 10)</t>
  </si>
  <si>
    <t>Electronics</t>
  </si>
  <si>
    <t>Flow: keys 1-7. BACKUP: most push-button phones have a printed keypad matrix that cannot be split into 7 separate switches; then one of these is glued under each keycap and wired to the board.</t>
  </si>
  <si>
    <t>https://robu.in/product/12x12x12mm-tactile-push-button-switch-10pcs/</t>
  </si>
  <si>
    <t>Robu pack of 10, Rs 49, in stock (checked 25 Sep).</t>
  </si>
  <si>
    <t>Micro limit switch with lever (2 pcs)</t>
  </si>
  <si>
    <t>Flow: 'Picks up' / 'Hangs up'. BACKUP hook switch if the phone's original cradle contacts are corroded or missing.</t>
  </si>
  <si>
    <t>https://robu.in/product/kw1-103-z2a100-spdt-short-lever-micro-switch1n/</t>
  </si>
  <si>
    <t>Robu KW1-103 short-lever, Rs 14 each, in stock (checked 25 Sep). Order 2.</t>
  </si>
  <si>
    <t>Ai-Thinker ESP32-A1S Audio Kit v2.2 (ES8388 codec, microSD, 6 keys, headphone + speaker out, LiPo charger)</t>
  </si>
  <si>
    <t>The brain for every node: plays language/description/menu/record/review/saved prompts from SD, records the message to SD, picks messages by language, reads 7 keys + hook. 2nd unit is a spare.</t>
  </si>
  <si>
    <t>https://probots.co.in/esp32-a1s-audio-development-board-kit-ai-thinker-wifi.html</t>
  </si>
  <si>
    <t>In stock at Probots, Rs 2,499 each, dispatch 1 working day, 1-3 day express to Mumbai. Alt: Amazon.in 'ESP32-Audio-Kit ESP32-A1S' (Rakstore / JESSINIE). ORDER BY 26 SEP.</t>
  </si>
  <si>
    <t>microSD card 32 GB Class 10 (HP mi210)</t>
  </si>
  <si>
    <t>Flow: every prompt file (prompts/en, hi, mr) and the message archive (archive/en, hi, mr). 2nd card = identical pre-loaded spare.</t>
  </si>
  <si>
    <t>https://www.amazon.in/dp/B07DJLFMPS</t>
  </si>
  <si>
    <t>Amazon.in HP 32 GB Class 10 U1, Rs 899, in stock (checked 25 Sep). Card prices are high online right now - a local mobile shop is ~Rs 400-500; buy the 2nd (spare) card there if budget allows. 16 GB is also plenty.</t>
  </si>
  <si>
    <t>USB microSD card reader</t>
  </si>
  <si>
    <t>Loading the 15 prompt WAV files and seed messages onto the SD card from a laptop, and pulling recorded messages off it. Most laptops have no SD slot.</t>
  </si>
  <si>
    <t>https://www.amazon.in/dp/B0D9H3W8V6</t>
  </si>
  <si>
    <t>Amazon.in Digitek DCR-007, USB-A 3.0 + Type-C, Rs 299, in stock (checked 25 Sep).</t>
  </si>
  <si>
    <t>MAX9814 microphone amplifier module with electret capsule (AGC)</t>
  </si>
  <si>
    <t>Flow: '(person records message)'. Sits inside the handset mouthpiece; AGC evens out loud/quiet passengers over cab noise. Output goes to the board's MIC1 pads through a resistor divider. 2nd is a spare.</t>
  </si>
  <si>
    <t>https://robu.in/product/max9814-high-performance-microphone-agc-amplifier-module-cma-4544pf-w/</t>
  </si>
  <si>
    <t>Robu Rs 191 each, in stock (checked 25 Sep). Alt: https://www.sunrom.com/p/max9814-microphone-amplifier-agc-auto-gain-control . Order by 26 Sep.</t>
  </si>
  <si>
    <t>Electret microphone capsule 6 mm / 9 mm (pack of 10)</t>
  </si>
  <si>
    <t>FALLBACK mic: if the MAX9814 signal is too hot or noisy, a bare capsule soldered straight to the board's MIC1 pads works with the codec's own bias.</t>
  </si>
  <si>
    <t>https://www.amazon.in/Yellow-Tommy-Condenser-Microphone-Directional/dp/B0GTQZ9ZNK</t>
  </si>
  <si>
    <t>Amazon.in Yellow Tommy pack of 10, Rs 249 (team-verified listing). Same capsule type also on Lamington Road.</t>
  </si>
  <si>
    <t>Resistor assortment kit (1/4 W, 50 values, 500 pcs)</t>
  </si>
  <si>
    <t>10 kOhm pull-up for key 1 on IO36 (input-only pin); 10k/1k divider between MAX9814 and MIC1; anything else that comes up at midnight.</t>
  </si>
  <si>
    <t>https://www.amazon.in/dp/B0D6LRHHVZ</t>
  </si>
  <si>
    <t>Amazon.in AVS 500 pc assorted kit, Rs 199, in stock (checked 25 Sep). Robu resistor kits were all out of stock. Also cheap at Lamington Road.</t>
  </si>
  <si>
    <t>3.5 mm AUX male-to-male cable (cut in half for two solderable plugs)</t>
  </si>
  <si>
    <t>Flow: every 'hears' node. Carries audio OUT of the board's 3.5 mm headphone jack to the handset earpiece. Without this nothing reaches the ear.</t>
  </si>
  <si>
    <t>https://robu.in/product/aux3-5mm-audio-extension-cable-2m-male-to-male-grey/</t>
  </si>
  <si>
    <t>Robu AUX 2 m cable, Rs 279-299, in stock - but overpriced. Any Rs 60-100 aux cable from a mobile shop / Lamington Road does the same job. Cut in half = two solderable plugs.</t>
  </si>
  <si>
    <t>Mini speaker 8 Ohm 0.5 W, 28 mm (2 pcs)</t>
  </si>
  <si>
    <t>Replacement earpiece only if the phone's original earpiece is dead. Driven from the headphone jack.</t>
  </si>
  <si>
    <t>https://robu.in/product/0-5w-8ohm-trumpet-speaker-diameter-28mm/</t>
  </si>
  <si>
    <t>Robu 28 mm 0.5 W 8 ohm, Rs 39, IN STOCK (checked 25 Sep). Buy 2: one spare earpiece, one bench test speaker. The 36 mm version is out of stock.</t>
  </si>
  <si>
    <t>4-core flexible cable, 1 m (or spare coiled handset cord)</t>
  </si>
  <si>
    <t>BACKUP handset cord: mic V+, mic signal, earpiece, shared ground. Old coiled cords are often broken inside.</t>
  </si>
  <si>
    <t>https://robu.in/product/22awg-multicore-insulated-cable4-cores-silicone/</t>
  </si>
  <si>
    <t>Robu 22 AWG 4-core silicone cable, Rs 87 per metre, IN STOCK (checked 25 Sep). The 26/24/30 AWG versions are out of stock.</t>
  </si>
  <si>
    <t>NFC sticker tags NTAG213 (pack of 10)</t>
  </si>
  <si>
    <t>Flow: 'Taps on the NFC tag'. Stuck on the phone body; holds the URL of the surprise web page with the cab number.</t>
  </si>
  <si>
    <t>https://www.amazon.in/Robodo-Sticker-13-56MHz-ISO14443A-Ntag213/dp/B07DDDGT1L</t>
  </si>
  <si>
    <t>Amazon.in Robodo 10-pack. Alt in stock at Robu, Rs 29 per tag (checked 25 Sep): https://robu.in/product/13-56-mhz-ntag213-144byte-sticker-nfc-tag/ . Write with the free 'NFC Tools' app.</t>
  </si>
  <si>
    <t>Power bank 10,000 mAh (EVM EnBolt 22.5W)</t>
  </si>
  <si>
    <t>Powers the board in the cab via micro-USB; driver swaps/charges it. Must NOT auto-shut-off at low current (idle board ~100 mA).</t>
  </si>
  <si>
    <t>https://www.amazon.in/dp/B0H1QCZ87F</t>
  </si>
  <si>
    <t>Amazon.in EVM EnBolt 10000 mAh, Rs 749, in stock (checked 25 Sep). No low-current mode - so firmware keeps Wi-Fi on + a 47 ohm 1 W keep-alive resistor across 5V/GND (from the resistor kit) so the bank never sleeps. ~15-20 h per charge; driver swaps daily.</t>
  </si>
  <si>
    <t>Micro-USB DATA cable, 1.5 m (2 pcs)</t>
  </si>
  <si>
    <t>One for programming the board from a laptop, one from the power bank in the cab.</t>
  </si>
  <si>
    <t>https://www.amazon.in/dp/B082LZGK39</t>
  </si>
  <si>
    <t>Amazon.in Ambrane 3A braided micro-USB DATA cable 1.5 m, Rs 149, in stock (checked 25 Sep). Order 2 (one for programming, one for the cab).</t>
  </si>
  <si>
    <t>Hookup wire 22 AWG, 5 colours x 2 m</t>
  </si>
  <si>
    <t>Wiring the 7 keys + hook switch to IO36, IO13, IO19, IO23, IO18, IO5, IO21, IO22 and the handset cord to mic/earpiece.</t>
  </si>
  <si>
    <t>https://www.amazon.in/dp/B0H8358SGS</t>
  </si>
  <si>
    <t>Amazon.in SixOhms 22 AWG solid-core kit, 5 colours x 2 m, Rs 99, in stock (checked 25 Sep). Robu hook-up wire kits are out of stock / Rs 800+. Lamington Road sells by the metre.</t>
  </si>
  <si>
    <t>Female-female Dupont jumper wires, 20 cm (40 pcs)</t>
  </si>
  <si>
    <t>Quick connections from the board's pin header to the switch wires during testing.</t>
  </si>
  <si>
    <t>https://robu.in/product/20cm-dupont-wire-color-jumper-cable-2-54mm-1p-1p-female-female-40pcs/</t>
  </si>
  <si>
    <t>Robu 20 cm F-F 40 pcs, Rs 44, in stock (checked 25 Sep). The M-M/M-F/F-F combo pack is out of stock.</t>
  </si>
  <si>
    <t>Male pin header strip 2.54 mm (1 pc, 40 pins)</t>
  </si>
  <si>
    <t>In case the A1S header pins arrive unpopulated or you need extra pins to solder to.</t>
  </si>
  <si>
    <t>https://robu.in/product/2-54mm-1x40-pin-male-single-row-straight-long-header-strip-pack-of-3/</t>
  </si>
  <si>
    <t>Robu pack of 3, Rs 15, in stock (checked 25 Sep).</t>
  </si>
  <si>
    <t>Heat-shrink tubing assortment</t>
  </si>
  <si>
    <t>Misc</t>
  </si>
  <si>
    <t>Insulating every solder joint on the handset and keypad wiring.</t>
  </si>
  <si>
    <t>https://www.amazon.in/dp/B08S3TP2Q6</t>
  </si>
  <si>
    <t>Amazon.in Rpi Shop 80 pc assorted kit, Rs 165, in stock (checked 25 Sep). Robu alt in stock: https://robu.in/product/colorful-heat-shrink-tubing-hst-insulation-assorted-kit-90-mm-length-168pcs/ (Rs 339).</t>
  </si>
  <si>
    <t>Hot glue sticks (10) + double-sided foam tape</t>
  </si>
  <si>
    <t>Fixing the board, mic module and SD card inside the phone shell so nothing rattles in the cab.</t>
  </si>
  <si>
    <t>https://www.amazon.in/dp/B0FD456NSD</t>
  </si>
  <si>
    <t>Amazon.in ProKart 7 mm glue sticks, 10 pcs, Rs 72, in stock (checked 25 Sep). Add double-sided foam tape from any stationery shop (~Rs 60).</t>
  </si>
  <si>
    <t>Acrylic base plate 200 x 200 x 3 mm + 4x M4 bolts/nuts + cable ties</t>
  </si>
  <si>
    <t>Mechanical</t>
  </si>
  <si>
    <t>Mounts the phone in the cab: phone screws to the plate, plate cable-ties to the seat frame / console.</t>
  </si>
  <si>
    <t>https://www.amazon.in/dp/B0DPV3BKWF</t>
  </si>
  <si>
    <t>Amazon.in black acrylic 200 x 200 x 3 mm, Rs 203, in stock (checked 25 Sep). M4 bolts/nuts + cable ties from any hardware shop (~Rs 100). Pre-drill before Goa.</t>
  </si>
  <si>
    <t>Rubber grommet 8-10 mm (2 pcs)</t>
  </si>
  <si>
    <t>Where the power cable exits the phone base.</t>
  </si>
  <si>
    <t>https://www.amazon.in/Rebower-Rubber-Grommets-Flexible-Wire/dp/B0BN472J62</t>
  </si>
  <si>
    <t>Amazon.in Rebower 8 mm grommets, 20 pcs. Any hardware shop also has these.</t>
  </si>
  <si>
    <t>TOTAL</t>
  </si>
  <si>
    <t>Budget</t>
  </si>
  <si>
    <t>Remaining</t>
  </si>
  <si>
    <t>Prices and stock checked on 25 Sep 2026 (Probots, Robu, Amazon.in): every link is a direct product page that was IN STOCK at the time of checking. Phone price depends on Chor Bazaar bargaining and is the lever if the total runs over. Online orders placed by 26 Sep reach Mumbai by 29 Sep (use the Mumbai pincode at checkout, not Goa). Nothing is being bought in Goa.</t>
  </si>
  <si>
    <t>TOOLS TO CARRY (owned / borrowed, not purchased - add ~Rs 1,500 if any must be bought)</t>
  </si>
  <si>
    <t>- Soldering iron (25-40 W) + solder + flux</t>
  </si>
  <si>
    <t>- Wire stripper / cutter</t>
  </si>
  <si>
    <t>- Multimeter (continuity for hook switch + keypad tracing)</t>
  </si>
  <si>
    <t>- Small screwdriver set (phone screws) + hand drill or drill bits for the base plate</t>
  </si>
  <si>
    <t>- Hot glue gun</t>
  </si>
  <si>
    <t>- Laptop with Arduino IDE, ESP32 board package, arduino-audio-tools library and CP210x USB driver installed and tested BEFORE leaving</t>
  </si>
  <si>
    <t>- NFC-capable phone with the 'NFC Tools' app (to write the URL to the tags)</t>
  </si>
  <si>
    <t>PREP BEFORE GOA (the flowchart cannot run without these - no purchase needed)</t>
  </si>
  <si>
    <t>- Record the prompt files as 16 kHz mono WAV: ask_lang (trilingual, 1 file) + for EACH of en/hi/mr: desc, menu, heres, none_yet, rec_intro ('record your message in &lt;language&gt; after the beep'), review (6/7), last_take, saved, surprise, goodbye, plus beep.wav = 32 files</t>
  </si>
  <si>
    <t>- Record 5+ seed messages per language into archive/en, archive/hi, archive/mr so the first listener never hears 'no messages yet'</t>
  </si>
  <si>
    <t>- Build and host the surprise web page (he/she/they -&gt; emoji + cab location + time); free hosting (GitHub Pages / Netlify); write its URL with cab number to the NFC tags</t>
  </si>
  <si>
    <t>- Flash and test the firmware on the bench with the full flow (language -&gt; description -&gt; listen / record -&gt; 6 / 7 -&gt; save -&gt; hang-up resets to idle) before packing - including the power-bank keep-alive: Wi-Fi radio left on + 47 ohm resistor across 5V/GND, then leave it running on the bank overnight to prove the bank does not switch off</t>
  </si>
  <si>
    <t>- Pre-drill the base plate; pack the spare board, spare SD card (pre-loaded) and spare mic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</si>
</sst>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 &quot;#,##0"/>
  </numFmts>
  <fonts count="6" x14ac:knownFonts="1">
    <font>
      <sz val="10"/>
      <color rgb="FF000000"/>
      <name val="Arial"/>
      <charset val="1"/>
    </font>
    <font>
      <b/>
      <sz val="11"/>
      <color theme="1"/>
      <name val="Roboto Mono"/>
      <charset val="1"/>
    </font>
    <font>
      <sz val="11"/>
      <color theme="1"/>
      <name val="Roboto Mono"/>
      <charset val="1"/>
    </font>
    <font>
      <b/>
      <sz val="11"/>
      <color rgb="FFFF0000"/>
      <name val="Roboto Mono"/>
      <charset val="1"/>
    </font>
    <font>
      <b/>
      <u/>
      <sz val="11"/>
      <color rgb="FF0000FF"/>
      <name val="Roboto Mono"/>
      <charset val="1"/>
    </font>
    <font>
      <u/>
      <sz val="11"/>
      <color rgb="FF0563C1"/>
      <name val="Roboto Mono"/>
      <charset val="1"/>
    </font>
  </fonts>
  <fills count="6">
    <fill>
      <patternFill patternType="none"/>
    </fill>
    <fill>
      <patternFill patternType="gray125"/>
    </fill>
    <fill>
      <patternFill patternType="solid">
        <fgColor rgb="FFB6D7A8"/>
        <bgColor rgb="FFCCCCFF"/>
      </patternFill>
    </fill>
    <fill>
      <patternFill patternType="solid">
        <fgColor rgb="FFFFE599"/>
        <bgColor rgb="FFFFFF99"/>
      </patternFill>
    </fill>
    <fill>
      <patternFill patternType="solid">
        <fgColor theme="7" tint="0.3999755851924192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vertical="top" wrapText="1"/>
    </xf>
    <xf numFmtId="0" fontId="2" fillId="0" borderId="0" xfId="0" applyFont="1" applyAlignment="1">
      <alignment vertical="top"/>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0" fontId="3" fillId="2" borderId="0" xfId="0" applyFont="1" applyFill="1" applyAlignment="1">
      <alignment vertical="top"/>
    </xf>
    <xf numFmtId="0" fontId="1"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xf>
    <xf numFmtId="0" fontId="1" fillId="3" borderId="0" xfId="0" applyFont="1" applyFill="1" applyAlignment="1">
      <alignment vertical="top"/>
    </xf>
    <xf numFmtId="0" fontId="5" fillId="0" borderId="0" xfId="0" applyFont="1" applyAlignment="1">
      <alignment vertical="top" wrapText="1"/>
    </xf>
    <xf numFmtId="164" fontId="2" fillId="0" borderId="0" xfId="0" applyNumberFormat="1" applyFont="1" applyAlignment="1">
      <alignment vertical="top" wrapText="1"/>
    </xf>
    <xf numFmtId="164" fontId="1" fillId="0" borderId="0" xfId="0" applyNumberFormat="1"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obu.in/product/max9814-high-performance-microphone-agc-amplifier-module-cma-4544pf-w/" TargetMode="External"/><Relationship Id="rId13" Type="http://schemas.openxmlformats.org/officeDocument/2006/relationships/hyperlink" Target="https://robu.in/product/22awg-multicore-insulated-cable4-cores-silicone/" TargetMode="External"/><Relationship Id="rId18" Type="http://schemas.openxmlformats.org/officeDocument/2006/relationships/hyperlink" Target="https://robu.in/product/20cm-dupont-wire-color-jumper-cable-2-54mm-1p-1p-female-female-40pcs/" TargetMode="External"/><Relationship Id="rId3" Type="http://schemas.openxmlformats.org/officeDocument/2006/relationships/hyperlink" Target="https://robu.in/product/12x12x12mm-tactile-push-button-switch-10pcs/" TargetMode="External"/><Relationship Id="rId21" Type="http://schemas.openxmlformats.org/officeDocument/2006/relationships/hyperlink" Target="https://www.amazon.in/dp/B0FD456NSD" TargetMode="External"/><Relationship Id="rId7" Type="http://schemas.openxmlformats.org/officeDocument/2006/relationships/hyperlink" Target="https://www.amazon.in/dp/B0D9H3W8V6" TargetMode="External"/><Relationship Id="rId12" Type="http://schemas.openxmlformats.org/officeDocument/2006/relationships/hyperlink" Target="https://robu.in/product/0-5w-8ohm-trumpet-speaker-diameter-28mm/" TargetMode="External"/><Relationship Id="rId17" Type="http://schemas.openxmlformats.org/officeDocument/2006/relationships/hyperlink" Target="https://www.amazon.in/dp/B0H8358SGS" TargetMode="External"/><Relationship Id="rId2" Type="http://schemas.openxmlformats.org/officeDocument/2006/relationships/hyperlink" Target="https://www.olx.in/items/q-vintage-telephone" TargetMode="External"/><Relationship Id="rId16" Type="http://schemas.openxmlformats.org/officeDocument/2006/relationships/hyperlink" Target="https://www.amazon.in/dp/B082LZGK39" TargetMode="External"/><Relationship Id="rId20" Type="http://schemas.openxmlformats.org/officeDocument/2006/relationships/hyperlink" Target="https://www.amazon.in/dp/B08S3TP2Q6" TargetMode="External"/><Relationship Id="rId1" Type="http://schemas.openxmlformats.org/officeDocument/2006/relationships/hyperlink" Target="https://robu.in/" TargetMode="External"/><Relationship Id="rId6" Type="http://schemas.openxmlformats.org/officeDocument/2006/relationships/hyperlink" Target="https://www.amazon.in/dp/B07DJLFMPS" TargetMode="External"/><Relationship Id="rId11" Type="http://schemas.openxmlformats.org/officeDocument/2006/relationships/hyperlink" Target="https://robu.in/product/aux3-5mm-audio-extension-cable-2m-male-to-male-grey/" TargetMode="External"/><Relationship Id="rId5" Type="http://schemas.openxmlformats.org/officeDocument/2006/relationships/hyperlink" Target="https://probots.co.in/esp32-a1s-audio-development-board-kit-ai-thinker-wifi.html" TargetMode="External"/><Relationship Id="rId15" Type="http://schemas.openxmlformats.org/officeDocument/2006/relationships/hyperlink" Target="https://www.amazon.in/dp/B0H1QCZ87F" TargetMode="External"/><Relationship Id="rId23" Type="http://schemas.openxmlformats.org/officeDocument/2006/relationships/hyperlink" Target="https://www.amazon.in/Rebower-Rubber-Grommets-Flexible-Wire/dp/B0BN472J62" TargetMode="External"/><Relationship Id="rId10" Type="http://schemas.openxmlformats.org/officeDocument/2006/relationships/hyperlink" Target="https://www.amazon.in/dp/B0D6LRHHVZ" TargetMode="External"/><Relationship Id="rId19" Type="http://schemas.openxmlformats.org/officeDocument/2006/relationships/hyperlink" Target="https://robu.in/product/2-54mm-1x40-pin-male-single-row-straight-long-header-strip-pack-of-3/" TargetMode="External"/><Relationship Id="rId4" Type="http://schemas.openxmlformats.org/officeDocument/2006/relationships/hyperlink" Target="https://robu.in/product/kw1-103-z2a100-spdt-short-lever-micro-switch1n/" TargetMode="External"/><Relationship Id="rId9" Type="http://schemas.openxmlformats.org/officeDocument/2006/relationships/hyperlink" Target="https://www.amazon.in/Yellow-Tommy-Condenser-Microphone-Directional/dp/B0GTQZ9ZNK" TargetMode="External"/><Relationship Id="rId14" Type="http://schemas.openxmlformats.org/officeDocument/2006/relationships/hyperlink" Target="https://www.amazon.in/Robodo-Sticker-13-56MHz-ISO14443A-Ntag213/dp/B07DDDGT1L" TargetMode="External"/><Relationship Id="rId22" Type="http://schemas.openxmlformats.org/officeDocument/2006/relationships/hyperlink" Target="https://www.amazon.in/dp/B0DPV3BKW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7"/>
  <sheetViews>
    <sheetView tabSelected="1" topLeftCell="A57" zoomScaleNormal="100" workbookViewId="0">
      <selection activeCell="A41" sqref="A41"/>
    </sheetView>
  </sheetViews>
  <sheetFormatPr defaultColWidth="12.6640625" defaultRowHeight="13.2" x14ac:dyDescent="0.25"/>
  <cols>
    <col min="1" max="6" width="25.109375" customWidth="1"/>
    <col min="7" max="7" width="44" customWidth="1"/>
    <col min="8" max="8" width="12" customWidth="1"/>
  </cols>
  <sheetData>
    <row r="1" spans="1:27" ht="15.75" customHeight="1" x14ac:dyDescent="0.25">
      <c r="A1" s="8" t="s">
        <v>0</v>
      </c>
      <c r="B1" s="9">
        <v>2026</v>
      </c>
      <c r="C1" s="10"/>
      <c r="D1" s="10"/>
      <c r="E1" s="10"/>
      <c r="F1" s="10"/>
      <c r="G1" s="10"/>
      <c r="H1" s="10"/>
      <c r="I1" s="10"/>
      <c r="J1" s="10"/>
      <c r="K1" s="10"/>
      <c r="L1" s="10"/>
      <c r="M1" s="10"/>
      <c r="N1" s="10"/>
      <c r="O1" s="10"/>
      <c r="P1" s="10"/>
      <c r="Q1" s="10"/>
      <c r="R1" s="10"/>
      <c r="S1" s="10"/>
      <c r="T1" s="10"/>
      <c r="U1" s="10"/>
      <c r="V1" s="10"/>
      <c r="W1" s="10"/>
      <c r="X1" s="10"/>
      <c r="Y1" s="10"/>
      <c r="Z1" s="10"/>
      <c r="AA1" s="10"/>
    </row>
    <row r="2" spans="1:27" ht="15.75" customHeight="1" x14ac:dyDescent="0.25">
      <c r="A2" s="8" t="s">
        <v>1</v>
      </c>
      <c r="B2" s="9" t="s">
        <v>2</v>
      </c>
      <c r="C2" s="10"/>
      <c r="D2" s="10"/>
      <c r="E2" s="10"/>
      <c r="F2" s="10"/>
      <c r="G2" s="10"/>
      <c r="H2" s="10"/>
      <c r="I2" s="10"/>
      <c r="J2" s="10"/>
      <c r="K2" s="10"/>
      <c r="L2" s="10"/>
      <c r="M2" s="10"/>
      <c r="N2" s="10"/>
      <c r="O2" s="10"/>
      <c r="P2" s="10"/>
      <c r="Q2" s="10"/>
      <c r="R2" s="10"/>
      <c r="S2" s="10"/>
      <c r="T2" s="10"/>
      <c r="U2" s="10"/>
      <c r="V2" s="10"/>
      <c r="W2" s="10"/>
      <c r="X2" s="10"/>
      <c r="Y2" s="10"/>
      <c r="Z2" s="10"/>
      <c r="AA2" s="10"/>
    </row>
    <row r="3" spans="1:27" ht="15.75" customHeight="1" x14ac:dyDescent="0.25">
      <c r="B3" s="9"/>
      <c r="C3" s="10"/>
      <c r="D3" s="10"/>
      <c r="E3" s="10"/>
      <c r="F3" s="10"/>
      <c r="G3" s="10"/>
      <c r="H3" s="10"/>
      <c r="I3" s="10"/>
      <c r="J3" s="10"/>
      <c r="K3" s="10"/>
      <c r="L3" s="10"/>
      <c r="M3" s="10"/>
      <c r="N3" s="10"/>
      <c r="O3" s="10"/>
      <c r="P3" s="10"/>
      <c r="Q3" s="10"/>
      <c r="R3" s="10"/>
      <c r="S3" s="10"/>
      <c r="T3" s="10"/>
      <c r="U3" s="10"/>
      <c r="V3" s="10"/>
      <c r="W3" s="10"/>
      <c r="X3" s="10"/>
      <c r="Y3" s="10"/>
      <c r="Z3" s="10"/>
      <c r="AA3" s="10"/>
    </row>
    <row r="4" spans="1:27" ht="15.75" customHeight="1" x14ac:dyDescent="0.25">
      <c r="A4" s="8" t="s">
        <v>3</v>
      </c>
      <c r="B4" s="11" t="s">
        <v>4</v>
      </c>
      <c r="C4" s="10"/>
      <c r="D4" s="10"/>
      <c r="E4" s="10"/>
      <c r="F4" s="10"/>
      <c r="G4" s="10"/>
      <c r="H4" s="10"/>
      <c r="I4" s="10"/>
      <c r="J4" s="10"/>
      <c r="K4" s="10"/>
      <c r="L4" s="10"/>
      <c r="M4" s="10"/>
      <c r="N4" s="10"/>
      <c r="O4" s="10"/>
      <c r="P4" s="10"/>
      <c r="Q4" s="10"/>
      <c r="R4" s="10"/>
      <c r="S4" s="10"/>
      <c r="T4" s="10"/>
      <c r="U4" s="10"/>
      <c r="V4" s="10"/>
      <c r="W4" s="10"/>
      <c r="X4" s="10"/>
      <c r="Y4" s="10"/>
      <c r="Z4" s="10"/>
      <c r="AA4" s="10"/>
    </row>
    <row r="5" spans="1:27" ht="15.75" customHeight="1" x14ac:dyDescent="0.25">
      <c r="A5" s="8" t="s">
        <v>5</v>
      </c>
      <c r="B5" s="11" t="s">
        <v>6</v>
      </c>
      <c r="C5" s="10"/>
      <c r="D5" s="10"/>
      <c r="E5" s="10"/>
      <c r="F5" s="10"/>
      <c r="G5" s="10"/>
      <c r="H5" s="10"/>
      <c r="I5" s="10"/>
      <c r="J5" s="10"/>
      <c r="K5" s="10"/>
      <c r="L5" s="10"/>
      <c r="M5" s="10"/>
      <c r="N5" s="10"/>
      <c r="O5" s="10"/>
      <c r="P5" s="10"/>
      <c r="Q5" s="10"/>
      <c r="R5" s="10"/>
      <c r="S5" s="10"/>
      <c r="T5" s="10"/>
      <c r="U5" s="10"/>
      <c r="V5" s="10"/>
      <c r="W5" s="10"/>
      <c r="X5" s="10"/>
      <c r="Y5" s="10"/>
      <c r="Z5" s="10"/>
      <c r="AA5" s="10"/>
    </row>
    <row r="6" spans="1:27" ht="15.75" customHeight="1" x14ac:dyDescent="0.25">
      <c r="A6" s="8" t="s">
        <v>7</v>
      </c>
      <c r="B6" s="12" t="s">
        <v>8</v>
      </c>
      <c r="C6" s="12" t="s">
        <v>9</v>
      </c>
      <c r="D6" s="12" t="s">
        <v>10</v>
      </c>
      <c r="E6" s="12"/>
      <c r="F6" s="12"/>
      <c r="G6" s="10"/>
      <c r="H6" s="10"/>
      <c r="I6" s="10"/>
      <c r="J6" s="10"/>
      <c r="K6" s="10"/>
      <c r="L6" s="10"/>
      <c r="M6" s="10"/>
      <c r="N6" s="10"/>
      <c r="O6" s="10"/>
      <c r="P6" s="10"/>
      <c r="Q6" s="10"/>
      <c r="R6" s="10"/>
      <c r="S6" s="10"/>
      <c r="T6" s="10"/>
      <c r="U6" s="10"/>
      <c r="V6" s="10"/>
      <c r="W6" s="10"/>
      <c r="X6" s="10"/>
      <c r="Y6" s="10"/>
      <c r="Z6" s="10"/>
      <c r="AA6" s="10"/>
    </row>
    <row r="7" spans="1:27" ht="15.75" customHeight="1" x14ac:dyDescent="0.25">
      <c r="A7" s="8" t="s">
        <v>11</v>
      </c>
      <c r="B7" s="10"/>
      <c r="C7" s="11"/>
      <c r="D7" s="11"/>
      <c r="E7" s="11"/>
      <c r="F7" s="11"/>
      <c r="G7" s="10"/>
      <c r="H7" s="10"/>
      <c r="I7" s="10"/>
      <c r="J7" s="10"/>
      <c r="K7" s="10"/>
      <c r="L7" s="10"/>
      <c r="M7" s="10"/>
      <c r="N7" s="10"/>
      <c r="O7" s="10"/>
      <c r="P7" s="10"/>
      <c r="Q7" s="10"/>
      <c r="R7" s="10"/>
      <c r="S7" s="10"/>
      <c r="T7" s="10"/>
      <c r="U7" s="10"/>
      <c r="V7" s="10"/>
      <c r="W7" s="10"/>
      <c r="X7" s="10"/>
      <c r="Y7" s="10"/>
      <c r="Z7" s="10"/>
      <c r="AA7" s="10"/>
    </row>
    <row r="8" spans="1:27" ht="15.75" customHeight="1" x14ac:dyDescent="0.25">
      <c r="A8" s="8" t="s">
        <v>12</v>
      </c>
      <c r="B8" s="10" t="s">
        <v>13</v>
      </c>
      <c r="C8" s="10"/>
      <c r="D8" s="10"/>
      <c r="E8" s="10"/>
      <c r="F8" s="10"/>
      <c r="G8" s="10"/>
      <c r="H8" s="10"/>
      <c r="I8" s="10"/>
      <c r="J8" s="10"/>
      <c r="K8" s="10"/>
      <c r="L8" s="10"/>
      <c r="M8" s="10"/>
      <c r="N8" s="10"/>
      <c r="O8" s="10"/>
      <c r="P8" s="10"/>
      <c r="Q8" s="10"/>
      <c r="R8" s="10"/>
      <c r="S8" s="10"/>
      <c r="T8" s="10"/>
      <c r="U8" s="10"/>
      <c r="V8" s="10"/>
      <c r="W8" s="10"/>
      <c r="X8" s="10"/>
      <c r="Y8" s="10"/>
      <c r="Z8" s="10"/>
      <c r="AA8" s="10"/>
    </row>
    <row r="9" spans="1:27" ht="15.75" customHeight="1" x14ac:dyDescent="0.25">
      <c r="A9" s="8" t="str">
        <f ca="1">IFERROR(__xludf.dummyfunction("IMPORTRANGE(""https://docs.google.com/spreadsheets/d/1mPga_BP0LldhNVlmlfw0Nwzpsyuqq3LXdUs7T9fRh24/edit?gid=0#gid=0"", ""Team_BoM!A8"")"),"Team Mentor")</f>
        <v>Team Mentor</v>
      </c>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ht="15.75" customHeight="1"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5.75"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15.75" customHeight="1"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ht="15.75"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ht="15.75" customHeigh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ht="15.75" customHeight="1" x14ac:dyDescent="0.25">
      <c r="A15" s="7" t="s">
        <v>14</v>
      </c>
      <c r="B15" s="7"/>
      <c r="C15" s="7"/>
      <c r="D15" s="7"/>
      <c r="E15" s="7"/>
      <c r="F15" s="7"/>
      <c r="G15" s="10"/>
      <c r="H15" s="10"/>
      <c r="I15" s="10"/>
      <c r="J15" s="10"/>
      <c r="K15" s="10"/>
      <c r="L15" s="10"/>
      <c r="M15" s="10"/>
      <c r="N15" s="10"/>
      <c r="O15" s="10"/>
      <c r="P15" s="10"/>
      <c r="Q15" s="10"/>
      <c r="R15" s="10"/>
      <c r="S15" s="10"/>
      <c r="T15" s="10"/>
      <c r="U15" s="10"/>
      <c r="V15" s="10"/>
      <c r="W15" s="10"/>
      <c r="X15" s="10"/>
      <c r="Y15" s="10"/>
      <c r="Z15" s="10"/>
      <c r="AA15" s="10"/>
    </row>
    <row r="16" spans="1:27" ht="15.75" customHeight="1" x14ac:dyDescent="0.25">
      <c r="A16" s="6" t="s">
        <v>15</v>
      </c>
      <c r="B16" s="6"/>
      <c r="C16" s="6"/>
      <c r="D16" s="6"/>
      <c r="E16" s="6"/>
      <c r="F16" s="6"/>
      <c r="G16" s="10"/>
      <c r="H16" s="10"/>
      <c r="I16" s="10"/>
      <c r="J16" s="10"/>
      <c r="K16" s="10"/>
      <c r="L16" s="10"/>
      <c r="M16" s="10"/>
      <c r="N16" s="10"/>
      <c r="O16" s="10"/>
      <c r="P16" s="10"/>
      <c r="Q16" s="10"/>
      <c r="R16" s="10"/>
      <c r="S16" s="10"/>
      <c r="T16" s="10"/>
      <c r="U16" s="10"/>
      <c r="V16" s="10"/>
      <c r="W16" s="10"/>
      <c r="X16" s="10"/>
      <c r="Y16" s="10"/>
      <c r="Z16" s="10"/>
      <c r="AA16" s="10"/>
    </row>
    <row r="17" spans="1:27" ht="15.75" customHeight="1" x14ac:dyDescent="0.25">
      <c r="A17" s="5" t="s">
        <v>16</v>
      </c>
      <c r="B17" s="5"/>
      <c r="C17" s="5"/>
      <c r="D17" s="5"/>
      <c r="E17" s="5"/>
      <c r="F17" s="5"/>
      <c r="G17" s="10"/>
      <c r="H17" s="10"/>
      <c r="I17" s="10"/>
      <c r="J17" s="10"/>
      <c r="K17" s="10"/>
      <c r="L17" s="10"/>
      <c r="M17" s="10"/>
      <c r="N17" s="10"/>
      <c r="O17" s="10"/>
      <c r="P17" s="10"/>
      <c r="Q17" s="10"/>
      <c r="R17" s="10"/>
      <c r="S17" s="10"/>
      <c r="T17" s="10"/>
      <c r="U17" s="10"/>
      <c r="V17" s="10"/>
      <c r="W17" s="10"/>
      <c r="X17" s="10"/>
      <c r="Y17" s="10"/>
      <c r="Z17" s="10"/>
      <c r="AA17" s="10"/>
    </row>
    <row r="18" spans="1:27" ht="15.75" customHeight="1" x14ac:dyDescent="0.25">
      <c r="A18" s="4"/>
      <c r="B18" s="4"/>
      <c r="C18" s="4"/>
      <c r="D18" s="4"/>
      <c r="E18" s="4"/>
      <c r="F18" s="4"/>
      <c r="G18" s="10"/>
      <c r="H18" s="10"/>
      <c r="I18" s="10"/>
      <c r="J18" s="10"/>
      <c r="K18" s="10"/>
      <c r="L18" s="10"/>
      <c r="M18" s="10"/>
      <c r="N18" s="10"/>
      <c r="O18" s="10"/>
      <c r="P18" s="10"/>
      <c r="Q18" s="10"/>
      <c r="R18" s="10"/>
      <c r="S18" s="10"/>
      <c r="T18" s="10"/>
      <c r="U18" s="10"/>
      <c r="V18" s="10"/>
      <c r="W18" s="10"/>
      <c r="X18" s="10"/>
      <c r="Y18" s="10"/>
      <c r="Z18" s="10"/>
      <c r="AA18" s="10"/>
    </row>
    <row r="19" spans="1:27" ht="15.75" customHeight="1" x14ac:dyDescent="0.25">
      <c r="A19" s="3" t="s">
        <v>17</v>
      </c>
      <c r="B19" s="3"/>
      <c r="C19" s="3"/>
      <c r="D19" s="3"/>
      <c r="E19" s="3"/>
      <c r="F19" s="3"/>
      <c r="G19" s="10"/>
      <c r="H19" s="10"/>
      <c r="I19" s="10"/>
      <c r="J19" s="10"/>
      <c r="K19" s="10"/>
      <c r="L19" s="10"/>
      <c r="M19" s="10"/>
      <c r="N19" s="10"/>
      <c r="O19" s="10"/>
      <c r="P19" s="10"/>
      <c r="Q19" s="10"/>
      <c r="R19" s="10"/>
      <c r="S19" s="10"/>
      <c r="T19" s="10"/>
      <c r="U19" s="10"/>
      <c r="V19" s="10"/>
      <c r="W19" s="10"/>
      <c r="X19" s="10"/>
      <c r="Y19" s="10"/>
      <c r="Z19" s="10"/>
      <c r="AA19" s="10"/>
    </row>
    <row r="20" spans="1:27" ht="15.75" customHeight="1" x14ac:dyDescent="0.25">
      <c r="A20" s="6" t="s">
        <v>18</v>
      </c>
      <c r="B20" s="6"/>
      <c r="C20" s="6"/>
      <c r="D20" s="6"/>
      <c r="E20" s="6"/>
      <c r="F20" s="6"/>
      <c r="G20" s="10"/>
      <c r="H20" s="10"/>
      <c r="I20" s="10"/>
      <c r="J20" s="10"/>
      <c r="K20" s="10"/>
      <c r="L20" s="10"/>
      <c r="M20" s="10"/>
      <c r="N20" s="10"/>
      <c r="O20" s="10"/>
      <c r="P20" s="10"/>
      <c r="Q20" s="10"/>
      <c r="R20" s="10"/>
      <c r="S20" s="10"/>
      <c r="T20" s="10"/>
      <c r="U20" s="10"/>
      <c r="V20" s="10"/>
      <c r="W20" s="10"/>
      <c r="X20" s="10"/>
      <c r="Y20" s="10"/>
      <c r="Z20" s="10"/>
      <c r="AA20" s="10"/>
    </row>
    <row r="21" spans="1:27" ht="27.75" customHeight="1" x14ac:dyDescent="0.25">
      <c r="A21" s="5" t="s">
        <v>19</v>
      </c>
      <c r="B21" s="5"/>
      <c r="C21" s="5"/>
      <c r="D21" s="5"/>
      <c r="E21" s="5"/>
      <c r="F21" s="5"/>
      <c r="G21" s="10"/>
      <c r="H21" s="10"/>
      <c r="I21" s="10"/>
      <c r="J21" s="10"/>
      <c r="K21" s="10"/>
      <c r="L21" s="10"/>
      <c r="M21" s="10"/>
      <c r="N21" s="10"/>
      <c r="O21" s="10"/>
      <c r="P21" s="10"/>
      <c r="Q21" s="10"/>
      <c r="R21" s="10"/>
      <c r="S21" s="10"/>
      <c r="T21" s="10"/>
      <c r="U21" s="10"/>
      <c r="V21" s="10"/>
      <c r="W21" s="10"/>
      <c r="X21" s="10"/>
      <c r="Y21" s="10"/>
      <c r="Z21" s="10"/>
      <c r="AA21" s="10"/>
    </row>
    <row r="22" spans="1:27" ht="15.75" customHeight="1" x14ac:dyDescent="0.25">
      <c r="A22" s="10"/>
      <c r="B22" s="2"/>
      <c r="C22" s="2"/>
      <c r="D22" s="2"/>
      <c r="E22" s="2"/>
      <c r="F22" s="2"/>
      <c r="G22" s="10"/>
      <c r="H22" s="10"/>
      <c r="I22" s="10"/>
      <c r="J22" s="10"/>
      <c r="K22" s="10"/>
      <c r="L22" s="10"/>
      <c r="M22" s="10"/>
      <c r="N22" s="10"/>
      <c r="O22" s="10"/>
      <c r="P22" s="10"/>
      <c r="Q22" s="10"/>
      <c r="R22" s="10"/>
      <c r="S22" s="10"/>
      <c r="T22" s="10"/>
      <c r="U22" s="10"/>
      <c r="V22" s="10"/>
      <c r="W22" s="10"/>
      <c r="X22" s="10"/>
      <c r="Y22" s="10"/>
      <c r="Z22" s="10"/>
      <c r="AA22" s="10"/>
    </row>
    <row r="23" spans="1:27" ht="150" customHeight="1" x14ac:dyDescent="0.25">
      <c r="A23" s="13" t="s">
        <v>20</v>
      </c>
      <c r="B23" s="1" t="s">
        <v>21</v>
      </c>
      <c r="C23" s="1"/>
      <c r="D23" s="1"/>
      <c r="E23" s="1"/>
      <c r="F23" s="1"/>
      <c r="G23" s="10"/>
      <c r="H23" s="10"/>
      <c r="I23" s="10"/>
      <c r="J23" s="10"/>
      <c r="K23" s="10"/>
      <c r="L23" s="10"/>
      <c r="M23" s="10"/>
      <c r="N23" s="10"/>
      <c r="O23" s="10"/>
      <c r="P23" s="10"/>
      <c r="Q23" s="10"/>
      <c r="R23" s="10"/>
      <c r="S23" s="10"/>
      <c r="T23" s="10"/>
      <c r="U23" s="10"/>
      <c r="V23" s="10"/>
      <c r="W23" s="10"/>
      <c r="X23" s="10"/>
      <c r="Y23" s="10"/>
      <c r="Z23" s="10"/>
      <c r="AA23" s="10"/>
    </row>
    <row r="24" spans="1:27" ht="15.7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ht="15.75" customHeight="1" x14ac:dyDescent="0.25">
      <c r="A25" s="14" t="s">
        <v>22</v>
      </c>
      <c r="B25" s="14" t="s">
        <v>23</v>
      </c>
      <c r="C25" s="14" t="s">
        <v>24</v>
      </c>
      <c r="D25" s="14" t="s">
        <v>25</v>
      </c>
      <c r="E25" s="14" t="s">
        <v>26</v>
      </c>
      <c r="F25" s="14" t="s">
        <v>27</v>
      </c>
      <c r="G25" s="14" t="s">
        <v>28</v>
      </c>
      <c r="H25" s="14" t="s">
        <v>29</v>
      </c>
      <c r="I25" s="10"/>
      <c r="J25" s="10"/>
      <c r="K25" s="10"/>
      <c r="L25" s="10"/>
      <c r="M25" s="10"/>
      <c r="N25" s="10"/>
      <c r="O25" s="10"/>
      <c r="P25" s="10"/>
      <c r="Q25" s="10"/>
      <c r="R25" s="10"/>
      <c r="S25" s="10"/>
      <c r="T25" s="10"/>
      <c r="U25" s="10"/>
      <c r="V25" s="10"/>
      <c r="W25" s="10"/>
      <c r="X25" s="10"/>
      <c r="Y25" s="10"/>
      <c r="Z25" s="10"/>
      <c r="AA25" s="10"/>
    </row>
    <row r="26" spans="1:27" ht="90" customHeight="1" x14ac:dyDescent="0.25">
      <c r="A26" s="18">
        <v>1</v>
      </c>
      <c r="B26" s="11" t="s">
        <v>30</v>
      </c>
      <c r="C26" s="11">
        <v>1</v>
      </c>
      <c r="D26" s="11" t="s">
        <v>31</v>
      </c>
      <c r="E26" s="11" t="s">
        <v>32</v>
      </c>
      <c r="F26" s="15" t="s">
        <v>33</v>
      </c>
      <c r="G26" s="11" t="s">
        <v>34</v>
      </c>
      <c r="H26" s="16">
        <v>2500</v>
      </c>
      <c r="I26" s="10"/>
      <c r="J26" s="10"/>
      <c r="K26" s="10"/>
      <c r="L26" s="10"/>
      <c r="M26" s="10"/>
      <c r="N26" s="10"/>
      <c r="O26" s="10"/>
      <c r="P26" s="10"/>
      <c r="Q26" s="10"/>
      <c r="R26" s="10"/>
      <c r="S26" s="10"/>
      <c r="T26" s="10"/>
      <c r="U26" s="10"/>
      <c r="V26" s="10"/>
      <c r="W26" s="10"/>
      <c r="X26" s="10"/>
      <c r="Y26" s="10"/>
      <c r="Z26" s="10"/>
      <c r="AA26" s="10"/>
    </row>
    <row r="27" spans="1:27" ht="90" customHeight="1" x14ac:dyDescent="0.25">
      <c r="A27" s="18">
        <v>2</v>
      </c>
      <c r="B27" s="11" t="s">
        <v>35</v>
      </c>
      <c r="C27" s="11">
        <v>1</v>
      </c>
      <c r="D27" s="11" t="s">
        <v>36</v>
      </c>
      <c r="E27" s="11" t="s">
        <v>37</v>
      </c>
      <c r="F27" s="15" t="s">
        <v>38</v>
      </c>
      <c r="G27" s="11" t="s">
        <v>39</v>
      </c>
      <c r="H27" s="16">
        <v>49</v>
      </c>
      <c r="I27" s="10"/>
      <c r="J27" s="10"/>
      <c r="K27" s="10"/>
      <c r="L27" s="10"/>
      <c r="M27" s="10"/>
      <c r="N27" s="10"/>
      <c r="O27" s="10"/>
      <c r="P27" s="10"/>
      <c r="Q27" s="10"/>
      <c r="R27" s="10"/>
      <c r="S27" s="10"/>
      <c r="T27" s="10"/>
      <c r="U27" s="10"/>
      <c r="V27" s="10"/>
      <c r="W27" s="10"/>
      <c r="X27" s="10"/>
      <c r="Y27" s="10"/>
      <c r="Z27" s="10"/>
      <c r="AA27" s="10"/>
    </row>
    <row r="28" spans="1:27" ht="90" customHeight="1" x14ac:dyDescent="0.25">
      <c r="A28" s="19">
        <v>3</v>
      </c>
      <c r="B28" s="11" t="s">
        <v>40</v>
      </c>
      <c r="C28" s="11">
        <v>1</v>
      </c>
      <c r="D28" s="11" t="s">
        <v>31</v>
      </c>
      <c r="E28" s="11" t="s">
        <v>41</v>
      </c>
      <c r="F28" s="15" t="s">
        <v>42</v>
      </c>
      <c r="G28" s="11" t="s">
        <v>43</v>
      </c>
      <c r="H28" s="16">
        <v>28</v>
      </c>
      <c r="I28" s="10"/>
      <c r="J28" s="10"/>
      <c r="K28" s="10"/>
      <c r="L28" s="10"/>
      <c r="M28" s="10"/>
      <c r="N28" s="10"/>
      <c r="O28" s="10"/>
      <c r="P28" s="10"/>
      <c r="Q28" s="10"/>
      <c r="R28" s="10"/>
      <c r="S28" s="10"/>
      <c r="T28" s="10"/>
      <c r="U28" s="10"/>
      <c r="V28" s="10"/>
      <c r="W28" s="10"/>
      <c r="X28" s="10"/>
      <c r="Y28" s="10"/>
      <c r="Z28" s="10"/>
      <c r="AA28" s="10"/>
    </row>
    <row r="29" spans="1:27" ht="90" customHeight="1" x14ac:dyDescent="0.25">
      <c r="A29" s="18">
        <v>4</v>
      </c>
      <c r="B29" s="11" t="s">
        <v>44</v>
      </c>
      <c r="C29" s="11">
        <v>2</v>
      </c>
      <c r="D29" s="11" t="s">
        <v>36</v>
      </c>
      <c r="E29" s="11" t="s">
        <v>45</v>
      </c>
      <c r="F29" s="15" t="s">
        <v>46</v>
      </c>
      <c r="G29" s="11" t="s">
        <v>47</v>
      </c>
      <c r="H29" s="16">
        <v>4998</v>
      </c>
      <c r="I29" s="10"/>
      <c r="J29" s="10"/>
      <c r="K29" s="10"/>
      <c r="L29" s="10"/>
      <c r="M29" s="10"/>
      <c r="N29" s="10"/>
      <c r="O29" s="10"/>
      <c r="P29" s="10"/>
      <c r="Q29" s="10"/>
      <c r="R29" s="10"/>
      <c r="S29" s="10"/>
      <c r="T29" s="10"/>
      <c r="U29" s="10"/>
      <c r="V29" s="10"/>
      <c r="W29" s="10"/>
      <c r="X29" s="10"/>
      <c r="Y29" s="10"/>
      <c r="Z29" s="10"/>
      <c r="AA29" s="10"/>
    </row>
    <row r="30" spans="1:27" ht="90" customHeight="1" x14ac:dyDescent="0.25">
      <c r="A30" s="18">
        <v>5</v>
      </c>
      <c r="B30" s="11" t="s">
        <v>48</v>
      </c>
      <c r="C30" s="11">
        <v>1</v>
      </c>
      <c r="D30" s="11" t="s">
        <v>36</v>
      </c>
      <c r="E30" s="11" t="s">
        <v>49</v>
      </c>
      <c r="F30" s="15" t="s">
        <v>50</v>
      </c>
      <c r="G30" s="11" t="s">
        <v>51</v>
      </c>
      <c r="H30" s="16">
        <v>899</v>
      </c>
      <c r="I30" s="10"/>
      <c r="J30" s="10"/>
      <c r="K30" s="10"/>
      <c r="L30" s="10"/>
      <c r="M30" s="10"/>
      <c r="N30" s="10"/>
      <c r="O30" s="10"/>
      <c r="P30" s="10"/>
      <c r="Q30" s="10"/>
      <c r="R30" s="10"/>
      <c r="S30" s="10"/>
      <c r="T30" s="10"/>
      <c r="U30" s="10"/>
      <c r="V30" s="10"/>
      <c r="W30" s="10"/>
      <c r="X30" s="10"/>
      <c r="Y30" s="10"/>
      <c r="Z30" s="10"/>
      <c r="AA30" s="10"/>
    </row>
    <row r="31" spans="1:27" ht="90" customHeight="1" x14ac:dyDescent="0.25">
      <c r="A31" s="18">
        <v>6</v>
      </c>
      <c r="B31" s="11" t="s">
        <v>52</v>
      </c>
      <c r="C31" s="11">
        <v>1</v>
      </c>
      <c r="D31" s="11" t="s">
        <v>36</v>
      </c>
      <c r="E31" s="11" t="s">
        <v>53</v>
      </c>
      <c r="F31" s="15" t="s">
        <v>54</v>
      </c>
      <c r="G31" s="11" t="s">
        <v>55</v>
      </c>
      <c r="H31" s="16">
        <v>299</v>
      </c>
      <c r="I31" s="10"/>
      <c r="J31" s="10"/>
      <c r="K31" s="10"/>
      <c r="L31" s="10"/>
      <c r="M31" s="10"/>
      <c r="N31" s="10"/>
      <c r="O31" s="10"/>
      <c r="P31" s="10"/>
      <c r="Q31" s="10"/>
      <c r="R31" s="10"/>
      <c r="S31" s="10"/>
      <c r="T31" s="10"/>
      <c r="U31" s="10"/>
      <c r="V31" s="10"/>
      <c r="W31" s="10"/>
      <c r="X31" s="10"/>
      <c r="Y31" s="10"/>
      <c r="Z31" s="10"/>
      <c r="AA31" s="10"/>
    </row>
    <row r="32" spans="1:27" ht="90" customHeight="1" x14ac:dyDescent="0.25">
      <c r="A32" s="18">
        <v>7</v>
      </c>
      <c r="B32" s="11" t="s">
        <v>56</v>
      </c>
      <c r="C32" s="11">
        <v>2</v>
      </c>
      <c r="D32" s="11" t="s">
        <v>36</v>
      </c>
      <c r="E32" s="11" t="s">
        <v>57</v>
      </c>
      <c r="F32" s="15" t="s">
        <v>58</v>
      </c>
      <c r="G32" s="11" t="s">
        <v>59</v>
      </c>
      <c r="H32" s="16">
        <v>382</v>
      </c>
      <c r="I32" s="10"/>
      <c r="J32" s="10"/>
      <c r="K32" s="10"/>
      <c r="L32" s="10"/>
      <c r="M32" s="10"/>
      <c r="N32" s="10"/>
      <c r="O32" s="10"/>
      <c r="P32" s="10"/>
      <c r="Q32" s="10"/>
      <c r="R32" s="10"/>
      <c r="S32" s="10"/>
      <c r="T32" s="10"/>
      <c r="U32" s="10"/>
      <c r="V32" s="10"/>
      <c r="W32" s="10"/>
      <c r="X32" s="10"/>
      <c r="Y32" s="10"/>
      <c r="Z32" s="10"/>
      <c r="AA32" s="10"/>
    </row>
    <row r="33" spans="1:27" ht="90" customHeight="1" x14ac:dyDescent="0.25">
      <c r="A33" s="18">
        <v>8</v>
      </c>
      <c r="B33" s="11" t="s">
        <v>60</v>
      </c>
      <c r="C33" s="11">
        <v>1</v>
      </c>
      <c r="D33" s="11" t="s">
        <v>36</v>
      </c>
      <c r="E33" s="11" t="s">
        <v>61</v>
      </c>
      <c r="F33" s="15" t="s">
        <v>62</v>
      </c>
      <c r="G33" s="11" t="s">
        <v>63</v>
      </c>
      <c r="H33" s="16">
        <v>249</v>
      </c>
      <c r="I33" s="10"/>
      <c r="J33" s="10"/>
      <c r="K33" s="10"/>
      <c r="L33" s="10"/>
      <c r="M33" s="10"/>
      <c r="N33" s="10"/>
      <c r="O33" s="10"/>
      <c r="P33" s="10"/>
      <c r="Q33" s="10"/>
      <c r="R33" s="10"/>
      <c r="S33" s="10"/>
      <c r="T33" s="10"/>
      <c r="U33" s="10"/>
      <c r="V33" s="10"/>
      <c r="W33" s="10"/>
      <c r="X33" s="10"/>
      <c r="Y33" s="10"/>
      <c r="Z33" s="10"/>
      <c r="AA33" s="10"/>
    </row>
    <row r="34" spans="1:27" ht="90" customHeight="1" x14ac:dyDescent="0.25">
      <c r="A34" s="18">
        <v>9</v>
      </c>
      <c r="B34" s="11" t="s">
        <v>64</v>
      </c>
      <c r="C34" s="11">
        <v>1</v>
      </c>
      <c r="D34" s="11" t="s">
        <v>36</v>
      </c>
      <c r="E34" s="11" t="s">
        <v>65</v>
      </c>
      <c r="F34" s="15" t="s">
        <v>66</v>
      </c>
      <c r="G34" s="11" t="s">
        <v>67</v>
      </c>
      <c r="H34" s="16">
        <v>199</v>
      </c>
      <c r="I34" s="10"/>
      <c r="J34" s="10"/>
      <c r="K34" s="10"/>
      <c r="L34" s="10"/>
      <c r="M34" s="10"/>
      <c r="N34" s="10"/>
      <c r="O34" s="10"/>
      <c r="P34" s="10"/>
      <c r="Q34" s="10"/>
      <c r="R34" s="10"/>
      <c r="S34" s="10"/>
      <c r="T34" s="10"/>
      <c r="U34" s="10"/>
      <c r="V34" s="10"/>
      <c r="W34" s="10"/>
      <c r="X34" s="10"/>
      <c r="Y34" s="10"/>
      <c r="Z34" s="10"/>
      <c r="AA34" s="10"/>
    </row>
    <row r="35" spans="1:27" ht="90" customHeight="1" x14ac:dyDescent="0.25">
      <c r="A35" s="18">
        <v>10</v>
      </c>
      <c r="B35" s="11" t="s">
        <v>68</v>
      </c>
      <c r="C35" s="11">
        <v>1</v>
      </c>
      <c r="D35" s="11" t="s">
        <v>36</v>
      </c>
      <c r="E35" s="11" t="s">
        <v>69</v>
      </c>
      <c r="F35" s="15" t="s">
        <v>70</v>
      </c>
      <c r="G35" s="11" t="s">
        <v>71</v>
      </c>
      <c r="H35" s="16">
        <v>60</v>
      </c>
      <c r="I35" s="10"/>
      <c r="J35" s="10"/>
      <c r="K35" s="10"/>
      <c r="L35" s="10"/>
      <c r="M35" s="10"/>
      <c r="N35" s="10"/>
      <c r="O35" s="10"/>
      <c r="P35" s="10"/>
      <c r="Q35" s="10"/>
      <c r="R35" s="10"/>
      <c r="S35" s="10"/>
      <c r="T35" s="10"/>
      <c r="U35" s="10"/>
      <c r="V35" s="10"/>
      <c r="W35" s="10"/>
      <c r="X35" s="10"/>
      <c r="Y35" s="10"/>
      <c r="Z35" s="10"/>
      <c r="AA35" s="10"/>
    </row>
    <row r="36" spans="1:27" ht="90" customHeight="1" x14ac:dyDescent="0.25">
      <c r="A36" s="18">
        <v>11</v>
      </c>
      <c r="B36" s="11" t="s">
        <v>72</v>
      </c>
      <c r="C36" s="11">
        <v>1</v>
      </c>
      <c r="D36" s="11" t="s">
        <v>36</v>
      </c>
      <c r="E36" s="11" t="s">
        <v>73</v>
      </c>
      <c r="F36" s="15" t="s">
        <v>74</v>
      </c>
      <c r="G36" s="11" t="s">
        <v>75</v>
      </c>
      <c r="H36" s="16">
        <v>78</v>
      </c>
      <c r="I36" s="10"/>
      <c r="J36" s="10"/>
      <c r="K36" s="10"/>
      <c r="L36" s="10"/>
      <c r="M36" s="10"/>
      <c r="N36" s="10"/>
      <c r="O36" s="10"/>
      <c r="P36" s="10"/>
      <c r="Q36" s="10"/>
      <c r="R36" s="10"/>
      <c r="S36" s="10"/>
      <c r="T36" s="10"/>
      <c r="U36" s="10"/>
      <c r="V36" s="10"/>
      <c r="W36" s="10"/>
      <c r="X36" s="10"/>
      <c r="Y36" s="10"/>
      <c r="Z36" s="10"/>
      <c r="AA36" s="10"/>
    </row>
    <row r="37" spans="1:27" ht="90" customHeight="1" x14ac:dyDescent="0.25">
      <c r="A37" s="18">
        <v>12</v>
      </c>
      <c r="B37" s="11" t="s">
        <v>76</v>
      </c>
      <c r="C37" s="11">
        <v>1</v>
      </c>
      <c r="D37" s="11" t="s">
        <v>36</v>
      </c>
      <c r="E37" s="11" t="s">
        <v>77</v>
      </c>
      <c r="F37" s="15" t="s">
        <v>78</v>
      </c>
      <c r="G37" s="11" t="s">
        <v>79</v>
      </c>
      <c r="H37" s="16">
        <v>87</v>
      </c>
      <c r="I37" s="10"/>
      <c r="J37" s="10"/>
      <c r="K37" s="10"/>
      <c r="L37" s="10"/>
      <c r="M37" s="10"/>
      <c r="N37" s="10"/>
      <c r="O37" s="10"/>
      <c r="P37" s="10"/>
      <c r="Q37" s="10"/>
      <c r="R37" s="10"/>
      <c r="S37" s="10"/>
      <c r="T37" s="10"/>
      <c r="U37" s="10"/>
      <c r="V37" s="10"/>
      <c r="W37" s="10"/>
      <c r="X37" s="10"/>
      <c r="Y37" s="10"/>
      <c r="Z37" s="10"/>
      <c r="AA37" s="10"/>
    </row>
    <row r="38" spans="1:27" ht="90" customHeight="1" x14ac:dyDescent="0.25">
      <c r="A38" s="11">
        <v>13</v>
      </c>
      <c r="B38" s="11" t="s">
        <v>80</v>
      </c>
      <c r="C38" s="11">
        <v>1</v>
      </c>
      <c r="D38" s="11" t="s">
        <v>36</v>
      </c>
      <c r="E38" s="11" t="s">
        <v>81</v>
      </c>
      <c r="F38" s="15" t="s">
        <v>82</v>
      </c>
      <c r="G38" s="11" t="s">
        <v>83</v>
      </c>
      <c r="H38" s="16">
        <v>300</v>
      </c>
      <c r="I38" s="10"/>
      <c r="J38" s="10"/>
      <c r="K38" s="10"/>
      <c r="L38" s="10"/>
      <c r="M38" s="10"/>
      <c r="N38" s="10"/>
      <c r="O38" s="10"/>
      <c r="P38" s="10"/>
      <c r="Q38" s="10"/>
      <c r="R38" s="10"/>
      <c r="S38" s="10"/>
      <c r="T38" s="10"/>
      <c r="U38" s="10"/>
      <c r="V38" s="10"/>
      <c r="W38" s="10"/>
      <c r="X38" s="10"/>
      <c r="Y38" s="10"/>
      <c r="Z38" s="10"/>
      <c r="AA38" s="10"/>
    </row>
    <row r="39" spans="1:27" ht="90" customHeight="1" x14ac:dyDescent="0.25">
      <c r="A39" s="18">
        <v>14</v>
      </c>
      <c r="B39" s="11" t="s">
        <v>84</v>
      </c>
      <c r="C39" s="11">
        <v>1</v>
      </c>
      <c r="D39" s="11" t="s">
        <v>36</v>
      </c>
      <c r="E39" s="11" t="s">
        <v>85</v>
      </c>
      <c r="F39" s="15" t="s">
        <v>86</v>
      </c>
      <c r="G39" s="11" t="s">
        <v>87</v>
      </c>
      <c r="H39" s="16">
        <v>749</v>
      </c>
      <c r="I39" s="10"/>
      <c r="J39" s="10"/>
      <c r="K39" s="10"/>
      <c r="L39" s="10"/>
      <c r="M39" s="10"/>
      <c r="N39" s="10"/>
      <c r="O39" s="10"/>
      <c r="P39" s="10"/>
      <c r="Q39" s="10"/>
      <c r="R39" s="10"/>
      <c r="S39" s="10"/>
      <c r="T39" s="10"/>
      <c r="U39" s="10"/>
      <c r="V39" s="10"/>
      <c r="W39" s="10"/>
      <c r="X39" s="10"/>
      <c r="Y39" s="10"/>
      <c r="Z39" s="10"/>
      <c r="AA39" s="10"/>
    </row>
    <row r="40" spans="1:27" ht="90" customHeight="1" x14ac:dyDescent="0.25">
      <c r="A40" s="18">
        <v>15</v>
      </c>
      <c r="B40" s="11" t="s">
        <v>88</v>
      </c>
      <c r="C40" s="11">
        <v>1</v>
      </c>
      <c r="D40" s="11" t="s">
        <v>36</v>
      </c>
      <c r="E40" s="11" t="s">
        <v>89</v>
      </c>
      <c r="F40" s="15" t="s">
        <v>90</v>
      </c>
      <c r="G40" s="11" t="s">
        <v>91</v>
      </c>
      <c r="H40" s="16">
        <v>298</v>
      </c>
      <c r="I40" s="10"/>
      <c r="J40" s="10"/>
      <c r="K40" s="10"/>
      <c r="L40" s="10"/>
      <c r="M40" s="10"/>
      <c r="N40" s="10"/>
      <c r="O40" s="10"/>
      <c r="P40" s="10"/>
      <c r="Q40" s="10"/>
      <c r="R40" s="10"/>
      <c r="S40" s="10"/>
      <c r="T40" s="10"/>
      <c r="U40" s="10"/>
      <c r="V40" s="10"/>
      <c r="W40" s="10"/>
      <c r="X40" s="10"/>
      <c r="Y40" s="10"/>
      <c r="Z40" s="10"/>
      <c r="AA40" s="10"/>
    </row>
    <row r="41" spans="1:27" ht="90" customHeight="1" x14ac:dyDescent="0.25">
      <c r="A41" s="18">
        <v>16</v>
      </c>
      <c r="B41" s="11" t="s">
        <v>92</v>
      </c>
      <c r="C41" s="11">
        <v>1</v>
      </c>
      <c r="D41" s="11" t="s">
        <v>36</v>
      </c>
      <c r="E41" s="11" t="s">
        <v>93</v>
      </c>
      <c r="F41" s="15" t="s">
        <v>94</v>
      </c>
      <c r="G41" s="11" t="s">
        <v>95</v>
      </c>
      <c r="H41" s="16">
        <v>99</v>
      </c>
      <c r="I41" s="10"/>
      <c r="J41" s="10"/>
      <c r="K41" s="10"/>
      <c r="L41" s="10"/>
      <c r="M41" s="10"/>
      <c r="N41" s="10"/>
      <c r="O41" s="10"/>
      <c r="P41" s="10"/>
      <c r="Q41" s="10"/>
      <c r="R41" s="10"/>
      <c r="S41" s="10"/>
      <c r="T41" s="10"/>
      <c r="U41" s="10"/>
      <c r="V41" s="10"/>
      <c r="W41" s="10"/>
      <c r="X41" s="10"/>
      <c r="Y41" s="10"/>
      <c r="Z41" s="10"/>
      <c r="AA41" s="10"/>
    </row>
    <row r="42" spans="1:27" ht="90" customHeight="1" x14ac:dyDescent="0.25">
      <c r="A42" s="11">
        <v>17</v>
      </c>
      <c r="B42" s="11" t="s">
        <v>96</v>
      </c>
      <c r="C42" s="11">
        <v>1</v>
      </c>
      <c r="D42" s="11" t="s">
        <v>36</v>
      </c>
      <c r="E42" s="11" t="s">
        <v>97</v>
      </c>
      <c r="F42" s="15" t="s">
        <v>98</v>
      </c>
      <c r="G42" s="11" t="s">
        <v>99</v>
      </c>
      <c r="H42" s="16">
        <v>44</v>
      </c>
      <c r="I42" s="10"/>
      <c r="J42" s="10"/>
      <c r="K42" s="10"/>
      <c r="L42" s="10"/>
      <c r="M42" s="10"/>
      <c r="N42" s="10"/>
      <c r="O42" s="10"/>
      <c r="P42" s="10"/>
      <c r="Q42" s="10"/>
      <c r="R42" s="10"/>
      <c r="S42" s="10"/>
      <c r="T42" s="10"/>
      <c r="U42" s="10"/>
      <c r="V42" s="10"/>
      <c r="W42" s="10"/>
      <c r="X42" s="10"/>
      <c r="Y42" s="10"/>
      <c r="Z42" s="10"/>
      <c r="AA42" s="10"/>
    </row>
    <row r="43" spans="1:27" ht="90" customHeight="1" x14ac:dyDescent="0.25">
      <c r="A43" s="11">
        <v>18</v>
      </c>
      <c r="B43" s="11" t="s">
        <v>100</v>
      </c>
      <c r="C43" s="11">
        <v>1</v>
      </c>
      <c r="D43" s="11" t="s">
        <v>36</v>
      </c>
      <c r="E43" s="11" t="s">
        <v>101</v>
      </c>
      <c r="F43" s="15" t="s">
        <v>102</v>
      </c>
      <c r="G43" s="11" t="s">
        <v>103</v>
      </c>
      <c r="H43" s="16">
        <v>15</v>
      </c>
      <c r="I43" s="10"/>
      <c r="J43" s="10"/>
      <c r="K43" s="10"/>
      <c r="L43" s="10"/>
      <c r="M43" s="10"/>
      <c r="N43" s="10"/>
      <c r="O43" s="10"/>
      <c r="P43" s="10"/>
      <c r="Q43" s="10"/>
      <c r="R43" s="10"/>
      <c r="S43" s="10"/>
      <c r="T43" s="10"/>
      <c r="U43" s="10"/>
      <c r="V43" s="10"/>
      <c r="W43" s="10"/>
      <c r="X43" s="10"/>
      <c r="Y43" s="10"/>
      <c r="Z43" s="10"/>
      <c r="AA43" s="10"/>
    </row>
    <row r="44" spans="1:27" ht="90" customHeight="1" x14ac:dyDescent="0.25">
      <c r="A44" s="11">
        <v>19</v>
      </c>
      <c r="B44" s="11" t="s">
        <v>104</v>
      </c>
      <c r="C44" s="11">
        <v>1</v>
      </c>
      <c r="D44" s="11" t="s">
        <v>105</v>
      </c>
      <c r="E44" s="11" t="s">
        <v>106</v>
      </c>
      <c r="F44" s="15" t="s">
        <v>107</v>
      </c>
      <c r="G44" s="11" t="s">
        <v>108</v>
      </c>
      <c r="H44" s="16">
        <v>165</v>
      </c>
      <c r="I44" s="10"/>
      <c r="J44" s="10"/>
      <c r="K44" s="10"/>
      <c r="L44" s="10"/>
      <c r="M44" s="10"/>
      <c r="N44" s="10"/>
      <c r="O44" s="10"/>
      <c r="P44" s="10"/>
      <c r="Q44" s="10"/>
      <c r="R44" s="10"/>
      <c r="S44" s="10"/>
      <c r="T44" s="10"/>
      <c r="U44" s="10"/>
      <c r="V44" s="10"/>
      <c r="W44" s="10"/>
      <c r="X44" s="10"/>
      <c r="Y44" s="10"/>
      <c r="Z44" s="10"/>
      <c r="AA44" s="10"/>
    </row>
    <row r="45" spans="1:27" ht="90" customHeight="1" x14ac:dyDescent="0.25">
      <c r="A45" s="11">
        <v>20</v>
      </c>
      <c r="B45" s="11" t="s">
        <v>109</v>
      </c>
      <c r="C45" s="11">
        <v>1</v>
      </c>
      <c r="D45" s="11" t="s">
        <v>105</v>
      </c>
      <c r="E45" s="11" t="s">
        <v>110</v>
      </c>
      <c r="F45" s="15" t="s">
        <v>111</v>
      </c>
      <c r="G45" s="11" t="s">
        <v>112</v>
      </c>
      <c r="H45" s="16">
        <v>132</v>
      </c>
      <c r="I45" s="10"/>
      <c r="J45" s="10"/>
      <c r="K45" s="10"/>
      <c r="L45" s="10"/>
      <c r="M45" s="10"/>
      <c r="N45" s="10"/>
      <c r="O45" s="10"/>
      <c r="P45" s="10"/>
      <c r="Q45" s="10"/>
      <c r="R45" s="10"/>
      <c r="S45" s="10"/>
      <c r="T45" s="10"/>
      <c r="U45" s="10"/>
      <c r="V45" s="10"/>
      <c r="W45" s="10"/>
      <c r="X45" s="10"/>
      <c r="Y45" s="10"/>
      <c r="Z45" s="10"/>
      <c r="AA45" s="10"/>
    </row>
    <row r="46" spans="1:27" ht="90" customHeight="1" x14ac:dyDescent="0.25">
      <c r="A46" s="11">
        <v>21</v>
      </c>
      <c r="B46" s="11" t="s">
        <v>113</v>
      </c>
      <c r="C46" s="11">
        <v>1</v>
      </c>
      <c r="D46" s="11" t="s">
        <v>114</v>
      </c>
      <c r="E46" s="11" t="s">
        <v>115</v>
      </c>
      <c r="F46" s="15" t="s">
        <v>116</v>
      </c>
      <c r="G46" s="11" t="s">
        <v>117</v>
      </c>
      <c r="H46" s="16">
        <v>303</v>
      </c>
      <c r="I46" s="10"/>
      <c r="J46" s="10"/>
      <c r="K46" s="10"/>
      <c r="L46" s="10"/>
      <c r="M46" s="10"/>
      <c r="N46" s="10"/>
      <c r="O46" s="10"/>
      <c r="P46" s="10"/>
      <c r="Q46" s="10"/>
      <c r="R46" s="10"/>
      <c r="S46" s="10"/>
      <c r="T46" s="10"/>
      <c r="U46" s="10"/>
      <c r="V46" s="10"/>
      <c r="W46" s="10"/>
      <c r="X46" s="10"/>
      <c r="Y46" s="10"/>
      <c r="Z46" s="10"/>
      <c r="AA46" s="10"/>
    </row>
    <row r="47" spans="1:27" ht="90" customHeight="1" x14ac:dyDescent="0.25">
      <c r="A47" s="11">
        <v>22</v>
      </c>
      <c r="B47" s="11" t="s">
        <v>118</v>
      </c>
      <c r="C47" s="11">
        <v>1</v>
      </c>
      <c r="D47" s="11" t="s">
        <v>114</v>
      </c>
      <c r="E47" s="11" t="s">
        <v>119</v>
      </c>
      <c r="F47" s="15" t="s">
        <v>120</v>
      </c>
      <c r="G47" s="11" t="s">
        <v>121</v>
      </c>
      <c r="H47" s="16">
        <v>20</v>
      </c>
      <c r="I47" s="10"/>
      <c r="J47" s="10"/>
      <c r="K47" s="10"/>
      <c r="L47" s="10"/>
      <c r="M47" s="10"/>
      <c r="N47" s="10"/>
      <c r="O47" s="10"/>
      <c r="P47" s="10"/>
      <c r="Q47" s="10"/>
      <c r="R47" s="10"/>
      <c r="S47" s="10"/>
      <c r="T47" s="10"/>
      <c r="U47" s="10"/>
      <c r="V47" s="10"/>
      <c r="W47" s="10"/>
      <c r="X47" s="10"/>
      <c r="Y47" s="10"/>
      <c r="Z47" s="10"/>
      <c r="AA47" s="10"/>
    </row>
    <row r="48" spans="1:27" ht="15.75"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spans="1:27" ht="15.75" customHeight="1" x14ac:dyDescent="0.25">
      <c r="A49" s="10"/>
      <c r="B49" s="10"/>
      <c r="C49" s="10"/>
      <c r="D49" s="10"/>
      <c r="E49" s="10"/>
      <c r="F49" s="10"/>
      <c r="G49" s="8" t="s">
        <v>122</v>
      </c>
      <c r="H49" s="17">
        <f>SUM(H26:H47)</f>
        <v>11953</v>
      </c>
      <c r="I49" s="10"/>
      <c r="J49" s="10"/>
      <c r="K49" s="10"/>
      <c r="L49" s="10"/>
      <c r="M49" s="10"/>
      <c r="N49" s="10"/>
      <c r="O49" s="10"/>
      <c r="P49" s="10"/>
      <c r="Q49" s="10"/>
      <c r="R49" s="10"/>
      <c r="S49" s="10"/>
      <c r="T49" s="10"/>
      <c r="U49" s="10"/>
      <c r="V49" s="10"/>
      <c r="W49" s="10"/>
      <c r="X49" s="10"/>
      <c r="Y49" s="10"/>
      <c r="Z49" s="10"/>
      <c r="AA49" s="10"/>
    </row>
    <row r="50" spans="1:27" ht="15.75" customHeight="1" x14ac:dyDescent="0.25">
      <c r="A50" s="10"/>
      <c r="B50" s="10"/>
      <c r="C50" s="10"/>
      <c r="D50" s="10"/>
      <c r="E50" s="10"/>
      <c r="F50" s="10"/>
      <c r="G50" s="8" t="s">
        <v>123</v>
      </c>
      <c r="H50" s="17">
        <v>12000</v>
      </c>
      <c r="I50" s="10"/>
      <c r="J50" s="10"/>
      <c r="K50" s="10"/>
      <c r="L50" s="10"/>
      <c r="M50" s="10"/>
      <c r="N50" s="10"/>
      <c r="O50" s="10"/>
      <c r="P50" s="10"/>
      <c r="Q50" s="10"/>
      <c r="R50" s="10"/>
      <c r="S50" s="10"/>
      <c r="T50" s="10"/>
      <c r="U50" s="10"/>
      <c r="V50" s="10"/>
      <c r="W50" s="10"/>
      <c r="X50" s="10"/>
      <c r="Y50" s="10"/>
      <c r="Z50" s="10"/>
      <c r="AA50" s="10"/>
    </row>
    <row r="51" spans="1:27" ht="15.75" customHeight="1" x14ac:dyDescent="0.25">
      <c r="A51" s="10"/>
      <c r="B51" s="10"/>
      <c r="C51" s="10"/>
      <c r="D51" s="10"/>
      <c r="E51" s="10"/>
      <c r="F51" s="10"/>
      <c r="G51" s="8" t="s">
        <v>124</v>
      </c>
      <c r="H51" s="17">
        <f>H50-H49</f>
        <v>47</v>
      </c>
      <c r="I51" s="10"/>
      <c r="J51" s="10"/>
      <c r="K51" s="10"/>
      <c r="L51" s="10"/>
      <c r="M51" s="10"/>
      <c r="N51" s="10"/>
      <c r="O51" s="10"/>
      <c r="P51" s="10"/>
      <c r="Q51" s="10"/>
      <c r="R51" s="10"/>
      <c r="S51" s="10"/>
      <c r="T51" s="10"/>
      <c r="U51" s="10"/>
      <c r="V51" s="10"/>
      <c r="W51" s="10"/>
      <c r="X51" s="10"/>
      <c r="Y51" s="10"/>
      <c r="Z51" s="10"/>
      <c r="AA51" s="10"/>
    </row>
    <row r="52" spans="1:27" ht="15.75"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spans="1:27" ht="60" customHeight="1" x14ac:dyDescent="0.25">
      <c r="A53" s="1" t="s">
        <v>125</v>
      </c>
      <c r="B53" s="1"/>
      <c r="C53" s="1"/>
      <c r="D53" s="1"/>
      <c r="E53" s="1"/>
      <c r="F53" s="1"/>
      <c r="G53" s="1"/>
      <c r="H53" s="1"/>
      <c r="I53" s="10"/>
      <c r="J53" s="10"/>
      <c r="K53" s="10"/>
      <c r="L53" s="10"/>
      <c r="M53" s="10"/>
      <c r="N53" s="10"/>
      <c r="O53" s="10"/>
      <c r="P53" s="10"/>
      <c r="Q53" s="10"/>
      <c r="R53" s="10"/>
      <c r="S53" s="10"/>
      <c r="T53" s="10"/>
      <c r="U53" s="10"/>
      <c r="V53" s="10"/>
      <c r="W53" s="10"/>
      <c r="X53" s="10"/>
      <c r="Y53" s="10"/>
      <c r="Z53" s="10"/>
      <c r="AA53" s="10"/>
    </row>
    <row r="54" spans="1:27" ht="15.7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spans="1:27" ht="15.75" customHeight="1" x14ac:dyDescent="0.25">
      <c r="A55" s="4" t="s">
        <v>126</v>
      </c>
      <c r="B55" s="4"/>
      <c r="C55" s="4"/>
      <c r="D55" s="4"/>
      <c r="E55" s="4"/>
      <c r="F55" s="4"/>
      <c r="G55" s="4"/>
      <c r="H55" s="4"/>
      <c r="I55" s="10"/>
      <c r="J55" s="10"/>
      <c r="K55" s="10"/>
      <c r="L55" s="10"/>
      <c r="M55" s="10"/>
      <c r="N55" s="10"/>
      <c r="O55" s="10"/>
      <c r="P55" s="10"/>
      <c r="Q55" s="10"/>
      <c r="R55" s="10"/>
      <c r="S55" s="10"/>
      <c r="T55" s="10"/>
      <c r="U55" s="10"/>
      <c r="V55" s="10"/>
      <c r="W55" s="10"/>
      <c r="X55" s="10"/>
      <c r="Y55" s="10"/>
      <c r="Z55" s="10"/>
      <c r="AA55" s="10"/>
    </row>
    <row r="56" spans="1:27" ht="15.75" customHeight="1" x14ac:dyDescent="0.25">
      <c r="A56" s="1" t="s">
        <v>127</v>
      </c>
      <c r="B56" s="1"/>
      <c r="C56" s="1"/>
      <c r="D56" s="1"/>
      <c r="E56" s="1"/>
      <c r="F56" s="1"/>
      <c r="G56" s="1"/>
      <c r="H56" s="1"/>
      <c r="I56" s="10"/>
      <c r="J56" s="10"/>
      <c r="K56" s="10"/>
      <c r="L56" s="10"/>
      <c r="M56" s="10"/>
      <c r="N56" s="10"/>
      <c r="O56" s="10"/>
      <c r="P56" s="10"/>
      <c r="Q56" s="10"/>
      <c r="R56" s="10"/>
      <c r="S56" s="10"/>
      <c r="T56" s="10"/>
      <c r="U56" s="10"/>
      <c r="V56" s="10"/>
      <c r="W56" s="10"/>
      <c r="X56" s="10"/>
      <c r="Y56" s="10"/>
      <c r="Z56" s="10"/>
      <c r="AA56" s="10"/>
    </row>
    <row r="57" spans="1:27" ht="15.75" customHeight="1" x14ac:dyDescent="0.25">
      <c r="A57" s="1" t="s">
        <v>128</v>
      </c>
      <c r="B57" s="1"/>
      <c r="C57" s="1"/>
      <c r="D57" s="1"/>
      <c r="E57" s="1"/>
      <c r="F57" s="1"/>
      <c r="G57" s="1"/>
      <c r="H57" s="1"/>
      <c r="I57" s="10"/>
      <c r="J57" s="10"/>
      <c r="K57" s="10"/>
      <c r="L57" s="10"/>
      <c r="M57" s="10"/>
      <c r="N57" s="10"/>
      <c r="O57" s="10"/>
      <c r="P57" s="10"/>
      <c r="Q57" s="10"/>
      <c r="R57" s="10"/>
      <c r="S57" s="10"/>
      <c r="T57" s="10"/>
      <c r="U57" s="10"/>
      <c r="V57" s="10"/>
      <c r="W57" s="10"/>
      <c r="X57" s="10"/>
      <c r="Y57" s="10"/>
      <c r="Z57" s="10"/>
      <c r="AA57" s="10"/>
    </row>
    <row r="58" spans="1:27" ht="15.75" customHeight="1" x14ac:dyDescent="0.25">
      <c r="A58" s="1" t="s">
        <v>129</v>
      </c>
      <c r="B58" s="1"/>
      <c r="C58" s="1"/>
      <c r="D58" s="1"/>
      <c r="E58" s="1"/>
      <c r="F58" s="1"/>
      <c r="G58" s="1"/>
      <c r="H58" s="1"/>
      <c r="I58" s="10"/>
      <c r="J58" s="10"/>
      <c r="K58" s="10"/>
      <c r="L58" s="10"/>
      <c r="M58" s="10"/>
      <c r="N58" s="10"/>
      <c r="O58" s="10"/>
      <c r="P58" s="10"/>
      <c r="Q58" s="10"/>
      <c r="R58" s="10"/>
      <c r="S58" s="10"/>
      <c r="T58" s="10"/>
      <c r="U58" s="10"/>
      <c r="V58" s="10"/>
      <c r="W58" s="10"/>
      <c r="X58" s="10"/>
      <c r="Y58" s="10"/>
      <c r="Z58" s="10"/>
      <c r="AA58" s="10"/>
    </row>
    <row r="59" spans="1:27" ht="15.75" customHeight="1" x14ac:dyDescent="0.25">
      <c r="A59" s="1" t="s">
        <v>130</v>
      </c>
      <c r="B59" s="1"/>
      <c r="C59" s="1"/>
      <c r="D59" s="1"/>
      <c r="E59" s="1"/>
      <c r="F59" s="1"/>
      <c r="G59" s="1"/>
      <c r="H59" s="1"/>
      <c r="I59" s="10"/>
      <c r="J59" s="10"/>
      <c r="K59" s="10"/>
      <c r="L59" s="10"/>
      <c r="M59" s="10"/>
      <c r="N59" s="10"/>
      <c r="O59" s="10"/>
      <c r="P59" s="10"/>
      <c r="Q59" s="10"/>
      <c r="R59" s="10"/>
      <c r="S59" s="10"/>
      <c r="T59" s="10"/>
      <c r="U59" s="10"/>
      <c r="V59" s="10"/>
      <c r="W59" s="10"/>
      <c r="X59" s="10"/>
      <c r="Y59" s="10"/>
      <c r="Z59" s="10"/>
      <c r="AA59" s="10"/>
    </row>
    <row r="60" spans="1:27" ht="15.75" customHeight="1" x14ac:dyDescent="0.25">
      <c r="A60" s="1" t="s">
        <v>131</v>
      </c>
      <c r="B60" s="1"/>
      <c r="C60" s="1"/>
      <c r="D60" s="1"/>
      <c r="E60" s="1"/>
      <c r="F60" s="1"/>
      <c r="G60" s="1"/>
      <c r="H60" s="1"/>
      <c r="I60" s="10"/>
      <c r="J60" s="10"/>
      <c r="K60" s="10"/>
      <c r="L60" s="10"/>
      <c r="M60" s="10"/>
      <c r="N60" s="10"/>
      <c r="O60" s="10"/>
      <c r="P60" s="10"/>
      <c r="Q60" s="10"/>
      <c r="R60" s="10"/>
      <c r="S60" s="10"/>
      <c r="T60" s="10"/>
      <c r="U60" s="10"/>
      <c r="V60" s="10"/>
      <c r="W60" s="10"/>
      <c r="X60" s="10"/>
      <c r="Y60" s="10"/>
      <c r="Z60" s="10"/>
      <c r="AA60" s="10"/>
    </row>
    <row r="61" spans="1:27" ht="15.75" customHeight="1" x14ac:dyDescent="0.25">
      <c r="A61" s="1" t="s">
        <v>132</v>
      </c>
      <c r="B61" s="1"/>
      <c r="C61" s="1"/>
      <c r="D61" s="1"/>
      <c r="E61" s="1"/>
      <c r="F61" s="1"/>
      <c r="G61" s="1"/>
      <c r="H61" s="1"/>
      <c r="I61" s="10"/>
      <c r="J61" s="10"/>
      <c r="K61" s="10"/>
      <c r="L61" s="10"/>
      <c r="M61" s="10"/>
      <c r="N61" s="10"/>
      <c r="O61" s="10"/>
      <c r="P61" s="10"/>
      <c r="Q61" s="10"/>
      <c r="R61" s="10"/>
      <c r="S61" s="10"/>
      <c r="T61" s="10"/>
      <c r="U61" s="10"/>
      <c r="V61" s="10"/>
      <c r="W61" s="10"/>
      <c r="X61" s="10"/>
      <c r="Y61" s="10"/>
      <c r="Z61" s="10"/>
      <c r="AA61" s="10"/>
    </row>
    <row r="62" spans="1:27" ht="15.75" customHeight="1" x14ac:dyDescent="0.25">
      <c r="A62" s="1" t="s">
        <v>133</v>
      </c>
      <c r="B62" s="1"/>
      <c r="C62" s="1"/>
      <c r="D62" s="1"/>
      <c r="E62" s="1"/>
      <c r="F62" s="1"/>
      <c r="G62" s="1"/>
      <c r="H62" s="1"/>
      <c r="I62" s="10"/>
      <c r="J62" s="10"/>
      <c r="K62" s="10"/>
      <c r="L62" s="10"/>
      <c r="M62" s="10"/>
      <c r="N62" s="10"/>
      <c r="O62" s="10"/>
      <c r="P62" s="10"/>
      <c r="Q62" s="10"/>
      <c r="R62" s="10"/>
      <c r="S62" s="10"/>
      <c r="T62" s="10"/>
      <c r="U62" s="10"/>
      <c r="V62" s="10"/>
      <c r="W62" s="10"/>
      <c r="X62" s="10"/>
      <c r="Y62" s="10"/>
      <c r="Z62" s="10"/>
      <c r="AA62" s="10"/>
    </row>
    <row r="63" spans="1:27"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ht="15.75" customHeight="1" x14ac:dyDescent="0.25">
      <c r="A64" s="4" t="s">
        <v>134</v>
      </c>
      <c r="B64" s="4"/>
      <c r="C64" s="4"/>
      <c r="D64" s="4"/>
      <c r="E64" s="4"/>
      <c r="F64" s="4"/>
      <c r="G64" s="4"/>
      <c r="H64" s="4"/>
      <c r="I64" s="10"/>
      <c r="J64" s="10"/>
      <c r="K64" s="10"/>
      <c r="L64" s="10"/>
      <c r="M64" s="10"/>
      <c r="N64" s="10"/>
      <c r="O64" s="10"/>
      <c r="P64" s="10"/>
      <c r="Q64" s="10"/>
      <c r="R64" s="10"/>
      <c r="S64" s="10"/>
      <c r="T64" s="10"/>
      <c r="U64" s="10"/>
      <c r="V64" s="10"/>
      <c r="W64" s="10"/>
      <c r="X64" s="10"/>
      <c r="Y64" s="10"/>
      <c r="Z64" s="10"/>
      <c r="AA64" s="10"/>
    </row>
    <row r="65" spans="1:27" ht="45" customHeight="1" x14ac:dyDescent="0.25">
      <c r="A65" s="1" t="s">
        <v>135</v>
      </c>
      <c r="B65" s="1"/>
      <c r="C65" s="1"/>
      <c r="D65" s="1"/>
      <c r="E65" s="1"/>
      <c r="F65" s="1"/>
      <c r="G65" s="1"/>
      <c r="H65" s="1"/>
      <c r="I65" s="10"/>
      <c r="J65" s="10"/>
      <c r="K65" s="10"/>
      <c r="L65" s="10"/>
      <c r="M65" s="10"/>
      <c r="N65" s="10"/>
      <c r="O65" s="10"/>
      <c r="P65" s="10"/>
      <c r="Q65" s="10"/>
      <c r="R65" s="10"/>
      <c r="S65" s="10"/>
      <c r="T65" s="10"/>
      <c r="U65" s="10"/>
      <c r="V65" s="10"/>
      <c r="W65" s="10"/>
      <c r="X65" s="10"/>
      <c r="Y65" s="10"/>
      <c r="Z65" s="10"/>
      <c r="AA65" s="10"/>
    </row>
    <row r="66" spans="1:27" ht="45" customHeight="1" x14ac:dyDescent="0.25">
      <c r="A66" s="1" t="s">
        <v>136</v>
      </c>
      <c r="B66" s="1"/>
      <c r="C66" s="1"/>
      <c r="D66" s="1"/>
      <c r="E66" s="1"/>
      <c r="F66" s="1"/>
      <c r="G66" s="1"/>
      <c r="H66" s="1"/>
      <c r="I66" s="10"/>
      <c r="J66" s="10"/>
      <c r="K66" s="10"/>
      <c r="L66" s="10"/>
      <c r="M66" s="10"/>
      <c r="N66" s="10"/>
      <c r="O66" s="10"/>
      <c r="P66" s="10"/>
      <c r="Q66" s="10"/>
      <c r="R66" s="10"/>
      <c r="S66" s="10"/>
      <c r="T66" s="10"/>
      <c r="U66" s="10"/>
      <c r="V66" s="10"/>
      <c r="W66" s="10"/>
      <c r="X66" s="10"/>
      <c r="Y66" s="10"/>
      <c r="Z66" s="10"/>
      <c r="AA66" s="10"/>
    </row>
    <row r="67" spans="1:27" ht="45" customHeight="1" x14ac:dyDescent="0.25">
      <c r="A67" s="1" t="s">
        <v>137</v>
      </c>
      <c r="B67" s="1"/>
      <c r="C67" s="1"/>
      <c r="D67" s="1"/>
      <c r="E67" s="1"/>
      <c r="F67" s="1"/>
      <c r="G67" s="1"/>
      <c r="H67" s="1"/>
      <c r="I67" s="10"/>
      <c r="J67" s="10"/>
      <c r="K67" s="10"/>
      <c r="L67" s="10"/>
      <c r="M67" s="10"/>
      <c r="N67" s="10"/>
      <c r="O67" s="10"/>
      <c r="P67" s="10"/>
      <c r="Q67" s="10"/>
      <c r="R67" s="10"/>
      <c r="S67" s="10"/>
      <c r="T67" s="10"/>
      <c r="U67" s="10"/>
      <c r="V67" s="10"/>
      <c r="W67" s="10"/>
      <c r="X67" s="10"/>
      <c r="Y67" s="10"/>
      <c r="Z67" s="10"/>
      <c r="AA67" s="10"/>
    </row>
    <row r="68" spans="1:27" ht="60" customHeight="1" x14ac:dyDescent="0.25">
      <c r="A68" s="1" t="s">
        <v>138</v>
      </c>
      <c r="B68" s="1"/>
      <c r="C68" s="1"/>
      <c r="D68" s="1"/>
      <c r="E68" s="1"/>
      <c r="F68" s="1"/>
      <c r="G68" s="1"/>
      <c r="H68" s="1"/>
      <c r="I68" s="10"/>
      <c r="J68" s="10"/>
      <c r="K68" s="10"/>
      <c r="L68" s="10"/>
      <c r="M68" s="10"/>
      <c r="N68" s="10"/>
      <c r="O68" s="10"/>
      <c r="P68" s="10"/>
      <c r="Q68" s="10"/>
      <c r="R68" s="10"/>
      <c r="S68" s="10"/>
      <c r="T68" s="10"/>
      <c r="U68" s="10"/>
      <c r="V68" s="10"/>
      <c r="W68" s="10"/>
      <c r="X68" s="10"/>
      <c r="Y68" s="10"/>
      <c r="Z68" s="10"/>
      <c r="AA68" s="10"/>
    </row>
    <row r="69" spans="1:27" ht="45" customHeight="1" x14ac:dyDescent="0.25">
      <c r="A69" s="1" t="s">
        <v>139</v>
      </c>
      <c r="B69" s="1"/>
      <c r="C69" s="1"/>
      <c r="D69" s="1"/>
      <c r="E69" s="1"/>
      <c r="F69" s="1"/>
      <c r="G69" s="1"/>
      <c r="H69" s="1"/>
      <c r="I69" s="10"/>
      <c r="J69" s="10"/>
      <c r="K69" s="10"/>
      <c r="L69" s="10"/>
      <c r="M69" s="10"/>
      <c r="N69" s="10"/>
      <c r="O69" s="10"/>
      <c r="P69" s="10"/>
      <c r="Q69" s="10"/>
      <c r="R69" s="10"/>
      <c r="S69" s="10"/>
      <c r="T69" s="10"/>
      <c r="U69" s="10"/>
      <c r="V69" s="10"/>
      <c r="W69" s="10"/>
      <c r="X69" s="10"/>
      <c r="Y69" s="10"/>
      <c r="Z69" s="10"/>
      <c r="AA69" s="10"/>
    </row>
    <row r="70" spans="1:27"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spans="1:27"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spans="1:27"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spans="1:27"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spans="1:27"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spans="1:27"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spans="1:27"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spans="1:27"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spans="1:27"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spans="1:27"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spans="1:27"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spans="1:27"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spans="1:27"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spans="1:27"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spans="1:27"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spans="1:27"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spans="1:27"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spans="1:27"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spans="1:27"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spans="1:27"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spans="1:27"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spans="1:27"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spans="1:27"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spans="1:27"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spans="1:27"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spans="1:27"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spans="1:27"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spans="1:27"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spans="1:27"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spans="1:27"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spans="1:27"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spans="1:27"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spans="1:27"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spans="1:27"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spans="1:27"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spans="1:27"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spans="1:27"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spans="1:27"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spans="1:27"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spans="1:27"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spans="1:27"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spans="1:27"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spans="1:27"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spans="1:27"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spans="1:27"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spans="1:27"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spans="1:27"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spans="1:27"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spans="1:27"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spans="1:27"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spans="1:27"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spans="1:27"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spans="1:27"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spans="1:27"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spans="1:27"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spans="1:27"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spans="1:27"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spans="1:27"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spans="1:27"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spans="1:27"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spans="1:27"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spans="1:27"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spans="1:27"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spans="1:27"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spans="1:27"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spans="1:27"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spans="1:27"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spans="1:27"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spans="1:27"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spans="1:27"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spans="1:27"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spans="1:27"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spans="1:27"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spans="1:27"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spans="1:27"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spans="1:27"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spans="1:27"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spans="1:27"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spans="1:27"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spans="1:27"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spans="1:27"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spans="1:27"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spans="1:27"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spans="1:27"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spans="1:27"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spans="1:27"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spans="1:27"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spans="1:27"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spans="1:27"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spans="1:27"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spans="1:27"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spans="1:27"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spans="1:27"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spans="1:27"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spans="1:27"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spans="1:27"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spans="1:27"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spans="1:27"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spans="1:27"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spans="1:27"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spans="1:27"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spans="1:27"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spans="1:27"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spans="1:27"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spans="1:27"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spans="1:27"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spans="1:27"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spans="1:27"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spans="1:27"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spans="1:27"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spans="1:27"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spans="1:27"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spans="1:27"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spans="1:27"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spans="1:27"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spans="1:27"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spans="1:27"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spans="1:27"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spans="1:27"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spans="1:27"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spans="1:27"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spans="1:27"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spans="1:27"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spans="1:27"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spans="1:27"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spans="1:27"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spans="1:27"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spans="1:27"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spans="1:27"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spans="1:27"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spans="1:27"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spans="1:27"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spans="1:27"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spans="1:27"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spans="1:27"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spans="1:27"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spans="1:27"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spans="1:27"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spans="1:27"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spans="1:27"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spans="1:27"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spans="1:27"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spans="1:27"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spans="1:27"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spans="1:27"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spans="1:27"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spans="1:27"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spans="1:27"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spans="1:27"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spans="1:27"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spans="1:27"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spans="1:27"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spans="1:27"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spans="1:27"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spans="1:27"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spans="1:27"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spans="1:27"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spans="1:27"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spans="1:27"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spans="1:27"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spans="1:27"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spans="1:27"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spans="1:27"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spans="1:27"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spans="1:27"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spans="1:27"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spans="1:27"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spans="1:27"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spans="1:27"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spans="1:27"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spans="1:27"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spans="1:27"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spans="1:27"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spans="1:27"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spans="1:27"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spans="1:27"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spans="1:27"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spans="1:27"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spans="1:27"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spans="1:27"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spans="1:27"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spans="1:27"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spans="1:27"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spans="1:27"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spans="1:27"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spans="1:27"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spans="1:27"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spans="1:27"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spans="1:27"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spans="1:27"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spans="1:27"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spans="1:27"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spans="1:27"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spans="1:27"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spans="1:27"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spans="1:27"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spans="1:27"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spans="1:27"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spans="1:27"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spans="1:27"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spans="1:27"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spans="1:27"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spans="1:27"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spans="1:27"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spans="1:27"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spans="1:27"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spans="1:27"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spans="1:27"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spans="1:27"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spans="1:27"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spans="1:27"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spans="1:27"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spans="1:27"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spans="1:27"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spans="1:27"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spans="1:27"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spans="1:27"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spans="1:27"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spans="1:27"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spans="1:27"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spans="1:27"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spans="1:27"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spans="1:27"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spans="1:27"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spans="1:27"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spans="1:27"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spans="1:27"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spans="1:27"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spans="1:27"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spans="1:27"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spans="1:27"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spans="1:27"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spans="1:27"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spans="1:27"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spans="1:27"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spans="1:27"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spans="1:27"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spans="1:27"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spans="1:27"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spans="1:27"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spans="1:27"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ht="15.7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ht="15.7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ht="15.7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ht="15.7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ht="15.7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ht="15.7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ht="15.7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ht="15.7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ht="15.7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ht="15.7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ht="15.7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ht="15.7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ht="15.7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ht="15.7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ht="15.7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ht="15.7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ht="15.7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ht="15.7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ht="15.7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spans="1:27" ht="15.7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spans="1:27" ht="15.7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15.7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spans="1:27" ht="15.7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spans="1:27" ht="15.7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spans="1:27" ht="15.7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spans="1:27" ht="15.7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spans="1:27" ht="15.7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spans="1:27" ht="15.7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spans="1:27" ht="15.7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spans="1:27" ht="15.7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spans="1:27" ht="15.7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spans="1:27" ht="15.7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spans="1:27" ht="15.7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spans="1:27" ht="15.7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spans="1:27" ht="15.7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spans="1:27" ht="15.7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spans="1:27" ht="15.7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spans="1:27" ht="15.7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spans="1:27" ht="15.7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spans="1:27" ht="15.7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spans="1:27" ht="15.7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spans="1:27" ht="15.7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spans="1:27" ht="15.7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spans="1:27" ht="15.7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spans="1:27" ht="15.7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spans="1:27" ht="15.7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spans="1:27" ht="15.7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spans="1:27" ht="15.7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spans="1:27" ht="15.7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spans="1:27" ht="15.7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spans="1:27" ht="15.7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spans="1:27" ht="15.7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spans="1:27" ht="15.7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spans="1:27" ht="15.7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spans="1:27" ht="15.7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spans="1:27" ht="15.7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spans="1:27" ht="15.7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spans="1:27" ht="15.7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spans="1:27" ht="15.7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spans="1:27" ht="15.7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spans="1:27" ht="15.7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spans="1:27" ht="15.7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spans="1:27" ht="15.7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spans="1:27" ht="15.7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spans="1:27" ht="15.7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spans="1:27" ht="15.7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spans="1:27" ht="15.7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spans="1:27" ht="15.7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spans="1:27" ht="15.7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spans="1:27" ht="15.7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spans="1:27" ht="15.7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spans="1:27" ht="15.7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spans="1:27" ht="15.7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spans="1:27" ht="15.7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spans="1:27" ht="15.7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spans="1:27" ht="15.7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spans="1:27" ht="15.7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spans="1:27" ht="15.7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spans="1:27" ht="15.7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spans="1:27" ht="15.7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spans="1:27" ht="15.7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spans="1:27" ht="15.7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spans="1:27" ht="15.7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spans="1:27" ht="15.7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spans="1:27" ht="15.7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spans="1:27" ht="15.7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spans="1:27" ht="15.7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spans="1:27" ht="15.7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spans="1:27" ht="15.7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spans="1:27" ht="15.7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spans="1:27" ht="15.7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spans="1:27" ht="15.7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spans="1:27" ht="15.7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spans="1:27" ht="15.7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spans="1:27" ht="15.7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spans="1:27" ht="15.7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spans="1:27" ht="15.7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spans="1:27" ht="15.7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spans="1:27" ht="15.7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spans="1:27" ht="15.7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spans="1:27" ht="15.7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spans="1:27" ht="15.7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spans="1:27" ht="15.7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spans="1:27" ht="15.7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spans="1:27" ht="15.7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spans="1:27" ht="15.7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spans="1:27" ht="15.7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spans="1:27" ht="15.7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7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spans="1:27" ht="15.7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spans="1:27" ht="15.7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spans="1:27" ht="15.7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spans="1:27" ht="15.7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spans="1:27" ht="15.7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spans="1:27" ht="15.7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spans="1:27" ht="15.7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spans="1:27" ht="15.7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spans="1:27" ht="15.7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spans="1:27" ht="15.7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spans="1:27" ht="15.7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spans="1:27" ht="15.7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spans="1:27" ht="15.7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spans="1:27" ht="15.7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spans="1:27" ht="15.7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spans="1:27" ht="15.7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spans="1:27" ht="15.7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spans="1:27" ht="15.7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spans="1:27" ht="15.7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7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spans="1:27" ht="15.7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5.7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7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7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7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ht="15.7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ht="15.7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ht="15.7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ht="15.7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spans="1:27" ht="15.7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spans="1:27" ht="15.7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ht="15.7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ht="15.7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ht="15.7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ht="15.7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ht="15.7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ht="15.7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spans="1:27" ht="15.7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spans="1:27" ht="15.7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ht="15.7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ht="15.7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ht="15.7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ht="15.7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ht="15.7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7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7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7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7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7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7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7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7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spans="1:27" ht="15.7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5.7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spans="1:27" ht="15.7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spans="1:27" ht="15.7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7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spans="1:27" ht="15.7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5.7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spans="1:27" ht="15.7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spans="1:27" ht="15.7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spans="1:27" ht="15.7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spans="1:27" ht="15.7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spans="1:27" ht="15.7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spans="1:27" ht="15.7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spans="1:27" ht="15.7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spans="1:27" ht="15.7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spans="1:27" ht="15.7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spans="1:27" ht="15.7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spans="1:27" ht="15.7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spans="1:27" ht="15.7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spans="1:27" ht="15.7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spans="1:27" ht="15.7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spans="1:27" ht="15.7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spans="1:27" ht="15.7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spans="1:27" ht="15.7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spans="1:27" ht="15.7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spans="1:27" ht="15.7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spans="1:27" ht="15.7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spans="1:27" ht="15.7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spans="1:27" ht="15.7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spans="1:27" ht="15.7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spans="1:27" ht="15.7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spans="1:27" ht="15.7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spans="1:27" ht="15.7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spans="1:27" ht="15.7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spans="1:27" ht="15.7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spans="1:27" ht="15.7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spans="1:27" ht="15.7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spans="1:27" ht="15.7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spans="1:27" ht="15.7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spans="1:27" ht="15.7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spans="1:27" ht="15.7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spans="1:27" ht="15.7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spans="1:27" ht="15.7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spans="1:27" ht="15.7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spans="1:27" ht="15.7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spans="1:27" ht="15.7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spans="1:27" ht="15.7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spans="1:27" ht="15.7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spans="1:27" ht="15.7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spans="1:27" ht="15.7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spans="1:27" ht="15.7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spans="1:27" ht="15.7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spans="1:27" ht="15.7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spans="1:27" ht="15.7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spans="1:27" ht="15.7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spans="1:27" ht="15.7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spans="1:27" ht="15.7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spans="1:27" ht="15.7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spans="1:27" ht="15.7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spans="1:27" ht="15.7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spans="1:27" ht="15.7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spans="1:27" ht="15.7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spans="1:27" ht="15.7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spans="1:27" ht="15.7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spans="1:27" ht="15.7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spans="1:27" ht="15.7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spans="1:27" ht="15.7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spans="1:27" ht="15.7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spans="1:27" ht="15.7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spans="1:27" ht="15.7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spans="1:27" ht="15.7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spans="1:27" ht="15.7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spans="1:27" ht="15.7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spans="1:27" ht="15.7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spans="1:27" ht="15.7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spans="1:27" ht="15.7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spans="1:27" ht="15.7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spans="1:27" ht="15.7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spans="1:27" ht="15.7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spans="1:27" ht="15.7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spans="1:27" ht="15.7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spans="1:27" ht="15.7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spans="1:27" ht="15.7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spans="1:27" ht="15.7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spans="1:27" ht="15.7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spans="1:27" ht="15.7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spans="1:27" ht="15.7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spans="1:27" ht="15.7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spans="1:27" ht="15.7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spans="1:27" ht="15.7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spans="1:27" ht="15.7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spans="1:27" ht="15.7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spans="1:27" ht="15.7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spans="1:27" ht="15.7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spans="1:27" ht="15.7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spans="1:27" ht="15.7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spans="1:27" ht="15.7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spans="1:27" ht="15.7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spans="1:27" ht="15.7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spans="1:27" ht="15.7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spans="1:27" ht="15.7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spans="1:27" ht="15.7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spans="1:27" ht="15.7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spans="1:27" ht="15.7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spans="1:27" ht="15.7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spans="1:27" ht="15.7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spans="1:27" ht="15.7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spans="1:27" ht="15.7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spans="1:27" ht="15.7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spans="1:27" ht="15.7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spans="1:27" ht="15.7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spans="1:27" ht="15.7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spans="1:27" ht="15.7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spans="1:27" ht="15.7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spans="1:27" ht="15.7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spans="1:27" ht="15.7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spans="1:27" ht="15.7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spans="1:27" ht="15.7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spans="1:27" ht="15.7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spans="1:27" ht="15.7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spans="1:27" ht="15.7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spans="1:27" ht="15.7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spans="1:27" ht="15.7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spans="1:27" ht="15.7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spans="1:27" ht="15.7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spans="1:27" ht="15.7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spans="1:27" ht="15.7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spans="1:27" ht="15.7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spans="1:27" ht="15.7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spans="1:27" ht="15.7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spans="1:27" ht="15.7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spans="1:27" ht="15.7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spans="1:27" ht="15.7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spans="1:27" ht="15.7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spans="1:27" ht="15.7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spans="1:27" ht="15.7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spans="1:27" ht="15.7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spans="1:27" ht="15.7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spans="1:27" ht="15.7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spans="1:27" ht="15.7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spans="1:27" ht="15.7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spans="1:27" ht="15.7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spans="1:27" ht="15.7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spans="1:27" ht="15.7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spans="1:27" ht="15.7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spans="1:27" ht="15.7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spans="1:27" ht="15.7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spans="1:27" ht="15.7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spans="1:27" ht="15.7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spans="1:27" ht="15.7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spans="1:27" ht="15.7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spans="1:27" ht="15.7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spans="1:27" ht="15.7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spans="1:27" ht="15.7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spans="1:27" ht="15.7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spans="1:27" ht="15.7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spans="1:27" ht="15.7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spans="1:27" ht="15.7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spans="1:27" ht="15.7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spans="1:27" ht="15.7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spans="1:27" ht="15.7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spans="1:27" ht="15.7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spans="1:27" ht="15.7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spans="1:27" ht="15.7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spans="1:27" ht="15.7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spans="1:27" ht="15.7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spans="1:27" ht="15.7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spans="1:27" ht="15.7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spans="1:27" ht="15.7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spans="1:27" ht="15.7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spans="1:27" ht="15.7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spans="1:27" ht="15.7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spans="1:27" ht="15.7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spans="1:27" ht="15.7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spans="1:27" ht="15.7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spans="1:27" ht="15.7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spans="1:27" ht="15.7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spans="1:27" ht="15.7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spans="1:27" ht="15.7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spans="1:27" ht="15.7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spans="1:27" ht="15.7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spans="1:27" ht="15.7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spans="1:27" ht="15.7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spans="1:27" ht="15.7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spans="1:27" ht="15.7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spans="1:27" ht="15.7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spans="1:27" ht="15.7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spans="1:27" ht="15.7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spans="1:27" ht="15.7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spans="1:27" ht="15.7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spans="1:27" ht="15.7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spans="1:27" ht="15.7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spans="1:27" ht="15.7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spans="1:27" ht="15.7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spans="1:27" ht="15.7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spans="1:27" ht="15.7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spans="1:27" ht="15.7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spans="1:27" ht="15.7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spans="1:27" ht="15.7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spans="1:27" ht="15.7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spans="1:27" ht="15.7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spans="1:27" ht="15.7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spans="1:27" ht="15.7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spans="1:27" ht="15.7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spans="1:27" ht="15.7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spans="1:27" ht="15.7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spans="1:27" ht="15.7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spans="1:27" ht="15.7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spans="1:27" ht="15.7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spans="1:27" ht="15.7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spans="1:27" ht="15.7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spans="1:27" ht="15.7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spans="1:27" ht="15.7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spans="1:27" ht="15.7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spans="1:27" ht="15.7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spans="1:27" ht="15.7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spans="1:27" ht="15.7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spans="1:27" ht="15.7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spans="1:27" ht="15.7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spans="1:27" ht="15.7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spans="1:27" ht="15.7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spans="1:27" ht="15.7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spans="1:27" ht="15.7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spans="1:27" ht="15.7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spans="1:27" ht="15.7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spans="1:27" ht="15.7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spans="1:27" ht="15.7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spans="1:27" ht="15.7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spans="1:27" ht="15.7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spans="1:27" ht="15.7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spans="1:27" ht="15.7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spans="1:27" ht="15.7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spans="1:27" ht="15.7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spans="1:27" ht="15.7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spans="1:27" ht="15.7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spans="1:27" ht="15.7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spans="1:27" ht="15.7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spans="1:27" ht="15.7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spans="1:27" ht="15.7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spans="1:27" ht="15.7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spans="1:27" ht="15.7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spans="1:27" ht="15.7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spans="1:27" ht="15.7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spans="1:27" ht="15.7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spans="1:27" ht="15.7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spans="1:27" ht="15.7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spans="1:27" ht="15.7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spans="1:27" ht="15.7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spans="1:27" ht="15.7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spans="1:27" ht="15.7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spans="1:27" ht="15.7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spans="1:27" ht="15.7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spans="1:27" ht="15.7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spans="1:27" ht="15.7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spans="1:27" ht="15.7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spans="1:27" ht="15.7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spans="1:27" ht="15.7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spans="1:27" ht="15.7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spans="1:27" ht="15.7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spans="1:27" ht="15.7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spans="1:27" ht="15.7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spans="1:27" ht="15.7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spans="1:27" ht="15.7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spans="1:27" ht="15.7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spans="1:27" ht="15.7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spans="1:27" ht="15.7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spans="1:27" ht="15.7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spans="1:27" ht="15.7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spans="1:27" ht="15.7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spans="1:27" ht="15.7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spans="1:27" ht="15.7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spans="1:27" ht="15.7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spans="1:27" ht="15.7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spans="1:27" ht="15.7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spans="1:27" ht="15.7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spans="1:27" ht="15.7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spans="1:27" ht="15.7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spans="1:27" ht="15.7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spans="1:27" ht="15.7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spans="1:27" ht="15.7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spans="1:27" ht="15.7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spans="1:27" ht="15.7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spans="1:27" ht="15.7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spans="1:27" ht="15.7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spans="1:27" ht="15.7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spans="1:27" ht="15.7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spans="1:27" ht="15.7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spans="1:27" ht="15.7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spans="1:27" ht="15.7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spans="1:27" ht="15.7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spans="1:27" ht="15.7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spans="1:27" ht="15.7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spans="1:27" ht="15.7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spans="1:27" ht="15.7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spans="1:27" ht="15.7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spans="1:27" ht="15.7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spans="1:27" ht="15.7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spans="1:27" ht="15.7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spans="1:27" ht="15.7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spans="1:27" ht="15.7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spans="1:27" ht="15.7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spans="1:27" ht="15.7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spans="1:27" ht="15.7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spans="1:27" ht="15.7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spans="1:27" ht="15.7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spans="1:27" ht="15.7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spans="1:27" ht="15.7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spans="1:27" ht="15.7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spans="1:27" ht="15.7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spans="1:27" ht="15.7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spans="1:27" ht="15.7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spans="1:27" ht="15.7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spans="1:27" ht="15.7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spans="1:27" ht="15.7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spans="1:27" ht="15.7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spans="1:27" ht="15.7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spans="1:27" ht="15.7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spans="1:27" ht="15.7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spans="1:27" ht="15.7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spans="1:27" ht="15.7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spans="1:27" ht="15.7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spans="1:27" ht="15.7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spans="1:27" ht="15.7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spans="1:27" ht="15.7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spans="1:27" ht="15.7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spans="1:27" ht="15.7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spans="1:27" ht="15.7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spans="1:27" ht="15.7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spans="1:27" ht="15.7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spans="1:27" ht="15.7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spans="1:27" ht="15.7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spans="1:27" ht="15.7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spans="1:27" ht="15.7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spans="1:27" ht="15.7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spans="1:27" ht="15.7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spans="1:27" ht="15.7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spans="1:27" ht="15.7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spans="1:27" ht="15.7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spans="1:27" ht="15.7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spans="1:27" ht="15.7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spans="1:27" ht="15.7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spans="1:27" ht="15.7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spans="1:27" ht="15.7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spans="1:27" ht="15.7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spans="1:27" ht="15.7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spans="1:27" ht="15.7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spans="1:27" ht="15.7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spans="1:27" ht="15.7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spans="1:27" ht="15.7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spans="1:27" ht="15.7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spans="1:27" ht="15.7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spans="1:27" ht="15.7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spans="1:27" ht="15.7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spans="1:27" ht="15.7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spans="1:27" ht="15.7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spans="1:27" ht="15.7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spans="1:27" ht="15.7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spans="1:27" ht="15.7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spans="1:27" ht="15.7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spans="1:27" ht="15.7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spans="1:27" ht="15.7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spans="1:27" ht="15.7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spans="1:27" ht="15.7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spans="1:27" ht="15.7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spans="1:27" ht="15.7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spans="1:27" ht="15.7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spans="1:27" ht="15.7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spans="1:27" ht="15.7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spans="1:27" ht="15.7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spans="1:27" ht="15.7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spans="1:27" ht="15.7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spans="1:27" ht="15.7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spans="1:27" ht="15.7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spans="1:27" ht="15.7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spans="1:27" ht="15.7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spans="1:27" ht="15.7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spans="1:27" ht="15.7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spans="1:27" ht="15.7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spans="1:27" ht="15.7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spans="1:27" ht="15.7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spans="1:27" ht="15.7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spans="1:27" ht="15.7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spans="1:27" ht="15.7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spans="1:27" ht="15.7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spans="1:27" ht="15.7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spans="1:27" ht="15.7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spans="1:27" ht="15.7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spans="1:27" ht="15.7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spans="1:27" ht="15.7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spans="1:27" ht="15.7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spans="1:27" ht="15.7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spans="1:27" ht="15.7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spans="1:27" ht="15.7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spans="1:27" ht="15.7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spans="1:27" ht="15.7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spans="1:27" ht="15.7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spans="1:27" ht="15.7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spans="1:27" ht="15.7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spans="1:27" ht="15.7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spans="1:27" ht="15.7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spans="1:27" ht="15.7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spans="1:27" ht="15.7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spans="1:27" ht="15.7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spans="1:27" ht="15.7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spans="1:27" ht="15.7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spans="1:27" ht="15.7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spans="1:27" ht="15.7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spans="1:27" ht="15.7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spans="1:27" ht="15.7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spans="1:27" ht="15.7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spans="1:27" ht="15.7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spans="1:27" ht="15.7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spans="1:27" ht="15.7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spans="1:27" ht="15.7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spans="1:27" ht="15.7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spans="1:27" ht="15.7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spans="1:27" ht="15.7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spans="1:27" ht="15.7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spans="1:27" ht="15.7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spans="1:27" ht="15.7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spans="1:27" ht="15.7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spans="1:27" ht="15.7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spans="1:27" ht="15.7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spans="1:27" ht="15.7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spans="1:27" ht="15.7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spans="1:27" ht="15.7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spans="1:27" ht="15.7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spans="1:27" ht="15.7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spans="1:27" ht="15.7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spans="1:27" ht="15.7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spans="1:27" ht="15.7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spans="1:27" ht="15.7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spans="1:27" ht="15.7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spans="1:27" ht="15.7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spans="1:27" ht="15.7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spans="1:27" ht="15.7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spans="1:27" ht="15.7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spans="1:27" ht="15.7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spans="1:27" ht="15.7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spans="1:27" ht="15.7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spans="1:27" ht="15.7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spans="1:27" ht="15.7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spans="1:27" ht="15.7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spans="1:27" ht="15.7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spans="1:27" ht="15.7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spans="1:27" ht="15.7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spans="1:27" ht="15.7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spans="1:27" ht="15.7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spans="1:27" ht="15.7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spans="1:27" ht="15.7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spans="1:27" ht="15.7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spans="1:27" ht="15.7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spans="1:27" ht="15.7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spans="1:27" ht="15.7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spans="1:27" ht="15.7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spans="1:27" ht="15.7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spans="1:27" ht="15.7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spans="1:27" ht="15.7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spans="1:27" ht="15.7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spans="1:27" ht="15.7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spans="1:27" ht="15.7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spans="1:27" ht="15.7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spans="1:27" ht="15.7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spans="1:27" ht="15.7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spans="1:27" ht="15.7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spans="1:27" ht="15.7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spans="1:27" ht="15.7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spans="1:27" ht="15.7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spans="1:27" ht="15.7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spans="1:27" ht="15.7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spans="1:27" ht="15.7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spans="1:27" ht="15.7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spans="1:27" ht="15.7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spans="1:27" ht="15.7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spans="1:27" ht="15.7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spans="1:27" ht="15.7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spans="1:27" ht="15.7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spans="1:27" ht="15.7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spans="1:27" ht="15.7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spans="1:27" ht="15.7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spans="1:27" ht="15.7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sheetData>
  <mergeCells count="24">
    <mergeCell ref="A66:H66"/>
    <mergeCell ref="A67:H67"/>
    <mergeCell ref="A68:H68"/>
    <mergeCell ref="A69:H69"/>
    <mergeCell ref="A60:H60"/>
    <mergeCell ref="A61:H61"/>
    <mergeCell ref="A62:H62"/>
    <mergeCell ref="A64:H64"/>
    <mergeCell ref="A65:H65"/>
    <mergeCell ref="A55:H55"/>
    <mergeCell ref="A56:H56"/>
    <mergeCell ref="A57:H57"/>
    <mergeCell ref="A58:H58"/>
    <mergeCell ref="A59:H59"/>
    <mergeCell ref="A20:F20"/>
    <mergeCell ref="A21:F21"/>
    <mergeCell ref="B22:F22"/>
    <mergeCell ref="B23:F23"/>
    <mergeCell ref="A53:H53"/>
    <mergeCell ref="A15:F15"/>
    <mergeCell ref="A16:F16"/>
    <mergeCell ref="A17:F17"/>
    <mergeCell ref="A18:F18"/>
    <mergeCell ref="A19:F19"/>
  </mergeCells>
  <dataValidations count="3">
    <dataValidation type="list" allowBlank="1" showErrorMessage="1" sqref="D26:D50" xr:uid="{00000000-0002-0000-0000-000000000000}">
      <formula1>"Electronics,Electro-mechanical,Mechanical,3D printed,Laser cut,Misc"</formula1>
      <formula2>0</formula2>
    </dataValidation>
    <dataValidation type="list" allowBlank="1" showErrorMessage="1" sqref="B2" xr:uid="{00000000-0002-0000-0000-000001000000}">
      <formula1>"Kulfi Collective"</formula1>
      <formula2>0</formula2>
    </dataValidation>
    <dataValidation type="list" allowBlank="1" showErrorMessage="1" sqref="B1" xr:uid="{00000000-0002-0000-0000-000002000000}">
      <formula1>"2026,2027,2028,2029,2030"</formula1>
      <formula2>0</formula2>
    </dataValidation>
  </dataValidations>
  <hyperlinks>
    <hyperlink ref="A19" r:id="rId1" display="* For all the components that you are ordering online provide the reference link of the online store from where you are planning to place the order. _x000a_Prefer ordering the components from stores like robu, hubtronics, roboticsdna etc. A more comprehensive VENDOR LIST is at : MAKERVILLE" xr:uid="{00000000-0004-0000-0000-000000000000}"/>
    <hyperlink ref="F26" r:id="rId2" xr:uid="{00000000-0004-0000-0000-000001000000}"/>
    <hyperlink ref="F27" r:id="rId3" xr:uid="{00000000-0004-0000-0000-000002000000}"/>
    <hyperlink ref="F28" r:id="rId4" xr:uid="{00000000-0004-0000-0000-000003000000}"/>
    <hyperlink ref="F29" r:id="rId5" xr:uid="{00000000-0004-0000-0000-000004000000}"/>
    <hyperlink ref="F30" r:id="rId6" xr:uid="{00000000-0004-0000-0000-000005000000}"/>
    <hyperlink ref="F31" r:id="rId7" xr:uid="{00000000-0004-0000-0000-000006000000}"/>
    <hyperlink ref="F32" r:id="rId8" xr:uid="{00000000-0004-0000-0000-000007000000}"/>
    <hyperlink ref="F33" r:id="rId9" xr:uid="{00000000-0004-0000-0000-000008000000}"/>
    <hyperlink ref="F34" r:id="rId10" xr:uid="{00000000-0004-0000-0000-000009000000}"/>
    <hyperlink ref="F35" r:id="rId11" xr:uid="{00000000-0004-0000-0000-00000A000000}"/>
    <hyperlink ref="F36" r:id="rId12" xr:uid="{00000000-0004-0000-0000-00000B000000}"/>
    <hyperlink ref="F37" r:id="rId13" xr:uid="{00000000-0004-0000-0000-00000C000000}"/>
    <hyperlink ref="F38" r:id="rId14" xr:uid="{00000000-0004-0000-0000-00000D000000}"/>
    <hyperlink ref="F39" r:id="rId15" xr:uid="{00000000-0004-0000-0000-00000E000000}"/>
    <hyperlink ref="F40" r:id="rId16" xr:uid="{00000000-0004-0000-0000-00000F000000}"/>
    <hyperlink ref="F41" r:id="rId17" xr:uid="{00000000-0004-0000-0000-000010000000}"/>
    <hyperlink ref="F42" r:id="rId18" xr:uid="{00000000-0004-0000-0000-000011000000}"/>
    <hyperlink ref="F43" r:id="rId19" xr:uid="{00000000-0004-0000-0000-000012000000}"/>
    <hyperlink ref="F44" r:id="rId20" xr:uid="{00000000-0004-0000-0000-000013000000}"/>
    <hyperlink ref="F45" r:id="rId21" xr:uid="{00000000-0004-0000-0000-000014000000}"/>
    <hyperlink ref="F46" r:id="rId22" xr:uid="{00000000-0004-0000-0000-000015000000}"/>
    <hyperlink ref="F47" r:id="rId23" xr:uid="{00000000-0004-0000-0000-000016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Team_BoM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Angad Singh</cp:lastModifiedBy>
  <cp:revision>0</cp:revision>
  <dcterms:created xsi:type="dcterms:W3CDTF">2026-09-25T10:29:07Z</dcterms:created>
  <dcterms:modified xsi:type="dcterms:W3CDTF">2026-10-01T07:25:05Z</dcterms:modified>
  <dc:language>en-US</dc:language>
</cp:coreProperties>
</file>